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jaye-labandia\Desktop\"/>
    </mc:Choice>
  </mc:AlternateContent>
  <xr:revisionPtr revIDLastSave="0" documentId="13_ncr:1_{DBE73946-1FCB-4E0B-BE3F-071981052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8" i="3" l="1"/>
  <c r="C535" i="3"/>
  <c r="C531" i="3"/>
  <c r="C527" i="3"/>
  <c r="C524" i="3"/>
  <c r="C517" i="3"/>
  <c r="C514" i="3"/>
  <c r="C513" i="3"/>
  <c r="C512" i="3"/>
  <c r="C511" i="3"/>
  <c r="C510" i="3"/>
  <c r="C509" i="3"/>
  <c r="C503" i="3"/>
  <c r="C495" i="3"/>
  <c r="C493" i="3"/>
  <c r="C492" i="3"/>
  <c r="C489" i="3"/>
  <c r="C488" i="3"/>
  <c r="C485" i="3"/>
  <c r="C484" i="3"/>
  <c r="C483" i="3"/>
  <c r="C482" i="3"/>
  <c r="C477" i="3"/>
  <c r="C469" i="3"/>
  <c r="C468" i="3"/>
  <c r="C465" i="3"/>
  <c r="C450" i="3"/>
  <c r="C442" i="3"/>
  <c r="C435" i="3"/>
  <c r="C434" i="3"/>
  <c r="C433" i="3"/>
  <c r="C432" i="3"/>
  <c r="C422" i="3"/>
  <c r="C419" i="3"/>
  <c r="C418" i="3"/>
  <c r="C410" i="3"/>
  <c r="C408" i="3"/>
  <c r="C405" i="3"/>
  <c r="C390" i="3"/>
  <c r="C374" i="3"/>
  <c r="C373" i="3"/>
  <c r="C372" i="3"/>
  <c r="C371" i="3"/>
  <c r="C366" i="3"/>
  <c r="C365" i="3"/>
  <c r="C363" i="3"/>
  <c r="C362" i="3"/>
  <c r="C361" i="3"/>
  <c r="C346" i="3"/>
  <c r="C342" i="3"/>
  <c r="C337" i="3"/>
  <c r="C332" i="3"/>
  <c r="C330" i="3"/>
  <c r="C325" i="3"/>
  <c r="C276" i="3"/>
  <c r="C275" i="3"/>
  <c r="C274" i="3"/>
  <c r="C271" i="3"/>
  <c r="C270" i="3"/>
  <c r="C269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44" i="3"/>
  <c r="C243" i="3"/>
  <c r="C242" i="3"/>
  <c r="C237" i="3"/>
  <c r="C228" i="3"/>
  <c r="C210" i="3"/>
  <c r="C209" i="3"/>
  <c r="C208" i="3"/>
  <c r="C206" i="3"/>
  <c r="C205" i="3"/>
  <c r="C204" i="3"/>
  <c r="C203" i="3"/>
  <c r="C200" i="3"/>
  <c r="C199" i="3"/>
  <c r="C198" i="3"/>
  <c r="C197" i="3"/>
  <c r="C196" i="3"/>
  <c r="C195" i="3"/>
  <c r="C194" i="3"/>
  <c r="C190" i="3"/>
  <c r="C148" i="3"/>
  <c r="C147" i="3"/>
  <c r="C146" i="3"/>
  <c r="C142" i="3"/>
  <c r="C141" i="3"/>
  <c r="C120" i="3"/>
  <c r="C119" i="3"/>
  <c r="C92" i="3"/>
  <c r="C90" i="3"/>
  <c r="C88" i="3"/>
  <c r="C86" i="3"/>
  <c r="C82" i="3"/>
  <c r="C80" i="3"/>
  <c r="C78" i="3"/>
  <c r="C76" i="3"/>
  <c r="C74" i="3"/>
  <c r="C72" i="3"/>
  <c r="C62" i="3"/>
  <c r="C61" i="3"/>
  <c r="C60" i="3"/>
  <c r="C59" i="3"/>
  <c r="C57" i="3"/>
  <c r="C56" i="3"/>
  <c r="C6" i="3"/>
</calcChain>
</file>

<file path=xl/sharedStrings.xml><?xml version="1.0" encoding="utf-8"?>
<sst xmlns="http://schemas.openxmlformats.org/spreadsheetml/2006/main" count="1156" uniqueCount="628">
  <si>
    <t>Category</t>
  </si>
  <si>
    <t>Item name</t>
  </si>
  <si>
    <t>Selling Price/pc</t>
  </si>
  <si>
    <t>Unit Cost</t>
  </si>
  <si>
    <t>Alcohol</t>
  </si>
  <si>
    <t>Gin Frasco (Quatro)</t>
  </si>
  <si>
    <t>Gin Bilog</t>
  </si>
  <si>
    <t>Alfonso Light 1Liter</t>
  </si>
  <si>
    <t>Alfonso Light 1Liter Sherry Oak</t>
  </si>
  <si>
    <t>Fundador Light 1L</t>
  </si>
  <si>
    <t>Sanmig Light</t>
  </si>
  <si>
    <t>Sanmig Apple</t>
  </si>
  <si>
    <t>Sanmiguel beer pilsen</t>
  </si>
  <si>
    <t>RedHorse 1pc</t>
  </si>
  <si>
    <t>RedHorse 1 case</t>
  </si>
  <si>
    <t>RedHorse Mucho 1pc</t>
  </si>
  <si>
    <t>GSM Blue Mojito 700ml</t>
  </si>
  <si>
    <t>GSM Blue Mojito 1L</t>
  </si>
  <si>
    <t>GSM Blue Margarita 700ml</t>
  </si>
  <si>
    <t>GSM Blue Pomelo 700ml</t>
  </si>
  <si>
    <t>Emperador Light 1Liter</t>
  </si>
  <si>
    <t>Emperador Light 750ml</t>
  </si>
  <si>
    <t>So Nice</t>
  </si>
  <si>
    <t>Jinro</t>
  </si>
  <si>
    <t>Juice</t>
  </si>
  <si>
    <t>TANG Dalandan</t>
  </si>
  <si>
    <t>TANG Orange</t>
  </si>
  <si>
    <t>TANG Pineapple</t>
  </si>
  <si>
    <t>TANG Pomelo</t>
  </si>
  <si>
    <t>TANG Lychee</t>
  </si>
  <si>
    <t>TANG Mango</t>
  </si>
  <si>
    <t>C2 Apple Solo 230ml</t>
  </si>
  <si>
    <t>C2 Apple 355ml</t>
  </si>
  <si>
    <t>C2 solo Lemon 230ml</t>
  </si>
  <si>
    <t>C2 solo Dalandan 230ml</t>
  </si>
  <si>
    <t>Nestea Ice Tea Lemon</t>
  </si>
  <si>
    <t>Nestea Ice Tea Honeyblend</t>
  </si>
  <si>
    <t>Nestea Ice Tea Apple</t>
  </si>
  <si>
    <t>OK Juice drink orange</t>
  </si>
  <si>
    <t>OK Juice drink grapes</t>
  </si>
  <si>
    <t>OK Juice drink apple</t>
  </si>
  <si>
    <t>BIG 250 Mango</t>
  </si>
  <si>
    <t>Del Monte Pineapple Juice (can)</t>
  </si>
  <si>
    <t>Pineapple chunks</t>
  </si>
  <si>
    <t>Softdrinks</t>
  </si>
  <si>
    <t>Coke 1.5Liter</t>
  </si>
  <si>
    <t>Coke 8oz</t>
  </si>
  <si>
    <t>Coke Kasalo</t>
  </si>
  <si>
    <t>Coke Mismo 290ml</t>
  </si>
  <si>
    <t>Sprite 8oz</t>
  </si>
  <si>
    <t>Sprite Kasalo</t>
  </si>
  <si>
    <t>Sprite 1.5Liter</t>
  </si>
  <si>
    <t>Sprite Mismo 290ml</t>
  </si>
  <si>
    <t>Royal 8oz</t>
  </si>
  <si>
    <t>Royal Kasalo</t>
  </si>
  <si>
    <t>Royal 1.5Liter</t>
  </si>
  <si>
    <t>Royal Mismo 290ml</t>
  </si>
  <si>
    <t>Mountain Dew</t>
  </si>
  <si>
    <t>Mountain Dew bottle 12oz</t>
  </si>
  <si>
    <t>Zest-O Rootbeer 500ml</t>
  </si>
  <si>
    <t>RC MEGA</t>
  </si>
  <si>
    <t>Choco drinks</t>
  </si>
  <si>
    <t>Nestle Chuckie BIG 180ml</t>
  </si>
  <si>
    <t>Nestle Chuckie Small 110ml</t>
  </si>
  <si>
    <t>Nestle Chuckie BIG 250ml</t>
  </si>
  <si>
    <t>Flavored drinks</t>
  </si>
  <si>
    <t>Alaska Fruit Yo 80ml</t>
  </si>
  <si>
    <t>Yakult</t>
  </si>
  <si>
    <t>Dutch Mill 90ml Small</t>
  </si>
  <si>
    <t>Dutch Mill 180ml BIG</t>
  </si>
  <si>
    <t>Energy Drinks</t>
  </si>
  <si>
    <t>Cobra Original 330ml (Yellow)</t>
  </si>
  <si>
    <t>Cobra smart 350ml (Red)</t>
  </si>
  <si>
    <t>Cobra blast 350ml (Green)</t>
  </si>
  <si>
    <t>Cobra Rise 350ml (Blue)</t>
  </si>
  <si>
    <t>Gatorade 350ml small</t>
  </si>
  <si>
    <t>Gatorade 500ml big</t>
  </si>
  <si>
    <t>Pocari sweat 350ml</t>
  </si>
  <si>
    <t>Pocari sweat 500ml</t>
  </si>
  <si>
    <t>Sting energy drinks 300ml red</t>
  </si>
  <si>
    <t>Cigarette</t>
  </si>
  <si>
    <t>Marlboro Red (1pc)</t>
  </si>
  <si>
    <t>Marlboro Red (1pack)</t>
  </si>
  <si>
    <t>Marlboro Blue (1pc)</t>
  </si>
  <si>
    <t>Marlboro Blue (1pack)</t>
  </si>
  <si>
    <t>Marlboro light (1pc)</t>
  </si>
  <si>
    <t>Marlboro light (1pack)</t>
  </si>
  <si>
    <t>Fortune lights</t>
  </si>
  <si>
    <t>Fortune lights (1pack)</t>
  </si>
  <si>
    <t>Fortune Green (1pc)</t>
  </si>
  <si>
    <t>Fortune Green (1pack)</t>
  </si>
  <si>
    <t>Chesterfield red (1pc)</t>
  </si>
  <si>
    <t>Chesterfield red (1pack)</t>
  </si>
  <si>
    <t>Chesterfield remix (1pc)</t>
  </si>
  <si>
    <t>Chesterfield remix (1pack)</t>
  </si>
  <si>
    <t>Chesterfield green</t>
  </si>
  <si>
    <t>Chesterfield green (1pack)</t>
  </si>
  <si>
    <t>Mighty Green (1pc)</t>
  </si>
  <si>
    <t>Mighty Green (1pack)</t>
  </si>
  <si>
    <t>Camel yellow (1pc)</t>
  </si>
  <si>
    <t>Camel yellow (1pack)</t>
  </si>
  <si>
    <t>Camel blue (1pc)</t>
  </si>
  <si>
    <t>Camel blue (1pack)</t>
  </si>
  <si>
    <t>Snack</t>
  </si>
  <si>
    <t>Piatos cheese Blue small</t>
  </si>
  <si>
    <t>Piatos cheese Blue big</t>
  </si>
  <si>
    <t>Piatos cheese Blue MEGA</t>
  </si>
  <si>
    <t>Piatos sour cream Green small</t>
  </si>
  <si>
    <t>Piatos sour cream Green big</t>
  </si>
  <si>
    <t>Piatos sour cream Green MEGA</t>
  </si>
  <si>
    <t>Piatos roast beef violet small</t>
  </si>
  <si>
    <t>Piatos roast beef violet big</t>
  </si>
  <si>
    <t>Piatos nacho pizza red small</t>
  </si>
  <si>
    <t>Piatos nacho pizza red big</t>
  </si>
  <si>
    <t>Piatos roadhouse dark red small</t>
  </si>
  <si>
    <t>Piatos roadhouse dark red big</t>
  </si>
  <si>
    <t>Piatos spicy cheese black small</t>
  </si>
  <si>
    <t>Piatos spicy cheese black big</t>
  </si>
  <si>
    <t>Potato Chips Plain 60g big</t>
  </si>
  <si>
    <t>Potato Chips Plain 22g big</t>
  </si>
  <si>
    <t>Potato Chips BBQ 60g big</t>
  </si>
  <si>
    <t>Potato Chips BBQ 22g small</t>
  </si>
  <si>
    <t>Potato Chips Plain and salted 130g Mega</t>
  </si>
  <si>
    <t>Potato Chips BBQ 130g Mega</t>
  </si>
  <si>
    <t>Oishi Potato chips plain 60g</t>
  </si>
  <si>
    <t>Potato Fries (Cheese) 21g</t>
  </si>
  <si>
    <t>Potato Fries (Tomato) 21g</t>
  </si>
  <si>
    <t>Lay's sour&amp;cream onion 170g Mega green</t>
  </si>
  <si>
    <t>Lay's cheddar sour&amp;cream 170g Mega orange</t>
  </si>
  <si>
    <t>Lay's cheddar sour&amp;cream 50g Green</t>
  </si>
  <si>
    <t>Lay's original 50g Yellow</t>
  </si>
  <si>
    <t>V-cut small</t>
  </si>
  <si>
    <t>V-cut big</t>
  </si>
  <si>
    <t>V-cut Onion&amp;Garlic 25g small</t>
  </si>
  <si>
    <t>V-cut Onion&amp;Garlic 60g big</t>
  </si>
  <si>
    <t>Nova cheddar 38g small</t>
  </si>
  <si>
    <t>Nova cheddar 78g big</t>
  </si>
  <si>
    <t>Nova BBQ 78g big</t>
  </si>
  <si>
    <t>Nova Sweetchili 78g big</t>
  </si>
  <si>
    <t>Nova Classic Crunch 78g big</t>
  </si>
  <si>
    <t>Oishi spicy big</t>
  </si>
  <si>
    <t>Lumpia</t>
  </si>
  <si>
    <t>Mang Juan 26g green</t>
  </si>
  <si>
    <t>Mang Juan 26g brown</t>
  </si>
  <si>
    <t>Mang Juan Spicy Pusit 80g (Pink)</t>
  </si>
  <si>
    <t>Mang Juan Sukang Paumbong 80g (Green)</t>
  </si>
  <si>
    <t>Mang Juan Suka't Sili 80g (Brown)</t>
  </si>
  <si>
    <t>Loaded White Choco 32g</t>
  </si>
  <si>
    <t>Loaded Choco 32g</t>
  </si>
  <si>
    <t>JF Chicharon</t>
  </si>
  <si>
    <t>JF Chicken inasal</t>
  </si>
  <si>
    <t>Crossini</t>
  </si>
  <si>
    <t>LS Cheesecake</t>
  </si>
  <si>
    <t>Cal Cheese 20g</t>
  </si>
  <si>
    <t>Cal Cheese 48g big</t>
  </si>
  <si>
    <t>Wafello Choco big</t>
  </si>
  <si>
    <t>Fudgee Choco</t>
  </si>
  <si>
    <t>Fudgee salted caramel</t>
  </si>
  <si>
    <t>Dowee Donut</t>
  </si>
  <si>
    <t>Tattoos cheese</t>
  </si>
  <si>
    <t>Tattoos spicy cheese</t>
  </si>
  <si>
    <t>Tattoos BBQ</t>
  </si>
  <si>
    <t>Black-O</t>
  </si>
  <si>
    <t>Chippy BBQ small 27g (red)</t>
  </si>
  <si>
    <t>Chippy Chili&amp;cheese small 27g (blue)</t>
  </si>
  <si>
    <t>Roller coaster small</t>
  </si>
  <si>
    <t>Roller Coaster Cheese 85g (Big)</t>
  </si>
  <si>
    <t>Roller Coaster BBQ 85g (Big)</t>
  </si>
  <si>
    <t>Cheese on Chips</t>
  </si>
  <si>
    <t>Martys Salt &amp; Vinegar 26g WHITE small</t>
  </si>
  <si>
    <t>Martys Salt &amp; Vinegar 90g WHITE big</t>
  </si>
  <si>
    <t>Martys Plain Salted 90g BLUE big</t>
  </si>
  <si>
    <t>Martys Plain Salted 26g BLUE small</t>
  </si>
  <si>
    <t>Martys Chicken Inasal 90g GREEN big</t>
  </si>
  <si>
    <t>Oishi Cracklin salt &amp; vinegar</t>
  </si>
  <si>
    <t>Martys Chicken Inasal 26g GREEN small</t>
  </si>
  <si>
    <t>Oishi Marty's spicy vinegar red small 26g</t>
  </si>
  <si>
    <t>Oishi Marty's spicy vinegar red big 90g</t>
  </si>
  <si>
    <t>Oishi ridges BBQ 60g big</t>
  </si>
  <si>
    <t>Oishi Crackling's Big</t>
  </si>
  <si>
    <t>Oishi Crackling's small</t>
  </si>
  <si>
    <t>Cheese Ring</t>
  </si>
  <si>
    <t>Cheese Ring small</t>
  </si>
  <si>
    <t>Mr. Chips big 105g</t>
  </si>
  <si>
    <t>Mr. Chips cheese 26g (small)</t>
  </si>
  <si>
    <t>Rinbee big</t>
  </si>
  <si>
    <t>Funky Cheese 23g</t>
  </si>
  <si>
    <t>Funky Classic 23g</t>
  </si>
  <si>
    <t>Criss Cross sour&amp;cream 20g (green)</t>
  </si>
  <si>
    <t>Criss Cross creamy cheese 20g (orange)</t>
  </si>
  <si>
    <t>Criss Cross creamy cheese 64g (orange)</t>
  </si>
  <si>
    <t>Clover Ham&amp;Cheese 550g</t>
  </si>
  <si>
    <t>SC Chicharon Lechon Kawali 32g</t>
  </si>
  <si>
    <t>SC Chicharon Pinoy Bawang 32g</t>
  </si>
  <si>
    <t>SC Chicharon Sukat Sili 32g</t>
  </si>
  <si>
    <t>Pic-A BBQ 180g Red Big</t>
  </si>
  <si>
    <t>Pic-A BBQ 90g Red Small</t>
  </si>
  <si>
    <t>Pic-A Cheddar 180g Blue Big</t>
  </si>
  <si>
    <t>Pic-A Cheddar 90g Blue Small</t>
  </si>
  <si>
    <t>Pic-A Sweet Chili 180g Big</t>
  </si>
  <si>
    <t>Bangus 35g</t>
  </si>
  <si>
    <t>Tempura 100g big</t>
  </si>
  <si>
    <t>Tempura 35g small</t>
  </si>
  <si>
    <t>Fishcracker</t>
  </si>
  <si>
    <t>Kropek</t>
  </si>
  <si>
    <t>Cookies</t>
  </si>
  <si>
    <t xml:space="preserve">N.STK wafer choco </t>
  </si>
  <si>
    <t>N.STK wafer straw</t>
  </si>
  <si>
    <t xml:space="preserve">N. choco wafer </t>
  </si>
  <si>
    <t>Cream-O Crinkles</t>
  </si>
  <si>
    <t>Cream-O Vanilla</t>
  </si>
  <si>
    <t>Cream-O Choco</t>
  </si>
  <si>
    <t>Hansel Choco</t>
  </si>
  <si>
    <t>Hansel Mocca</t>
  </si>
  <si>
    <t>Hansel Plain</t>
  </si>
  <si>
    <t>Extreme choco</t>
  </si>
  <si>
    <t>Combi</t>
  </si>
  <si>
    <t>Presto cream peanut butter</t>
  </si>
  <si>
    <t>Presto choco peanut butter</t>
  </si>
  <si>
    <t>Fita</t>
  </si>
  <si>
    <t>Skyflakes</t>
  </si>
  <si>
    <t>Rebisco strawberry</t>
  </si>
  <si>
    <t>Magic flakes cheese flavor</t>
  </si>
  <si>
    <t>YUM-YUM Strawberry 30g (PINK)</t>
  </si>
  <si>
    <t>YUM-YUM Cookies &amp; Cream 22g (BROWN)</t>
  </si>
  <si>
    <t>Nyam-Nyam choco</t>
  </si>
  <si>
    <t>Noodles</t>
  </si>
  <si>
    <t>Homi chkn&amp;grlc 55g</t>
  </si>
  <si>
    <t>Homi Beef Brisket 55g</t>
  </si>
  <si>
    <t>Cup Noodles</t>
  </si>
  <si>
    <t>Nissin Cup Beef mini 40g</t>
  </si>
  <si>
    <t>Nissin cup spicy beef 40g</t>
  </si>
  <si>
    <t>Nissin Cup Bulalo 40g</t>
  </si>
  <si>
    <t>Nissin Cup Seafood 40g</t>
  </si>
  <si>
    <t>Nissin Cup Sotanghon chkn 30g</t>
  </si>
  <si>
    <t>Nissin Cup Spicy Seafood 40g</t>
  </si>
  <si>
    <t>Nissin Cup Hot Creamy seafood 40g</t>
  </si>
  <si>
    <t>Nissin Cup chicken 40g</t>
  </si>
  <si>
    <t>LuckyMe cup Supreme spicy bulalo 40g</t>
  </si>
  <si>
    <t>Payless chicken 10+1</t>
  </si>
  <si>
    <t>Payless beef 10+1</t>
  </si>
  <si>
    <t>Payless PC XB Calamansi</t>
  </si>
  <si>
    <t>Payless PC XB CM 125gx4</t>
  </si>
  <si>
    <t>LuckyMe p.canton Kalamansi 80g</t>
  </si>
  <si>
    <t>LuckyMe p.canton Chilimansi 80g</t>
  </si>
  <si>
    <t>LuckyMe p.canton Swit&amp;Spicy 80g</t>
  </si>
  <si>
    <t>LuckyMe p.canton Extra hot 80g</t>
  </si>
  <si>
    <t>LuckyMe chicken 55g</t>
  </si>
  <si>
    <t>LuckyMe Beef 55g</t>
  </si>
  <si>
    <t>LuckyMe Spicy labuyo Beef 50g</t>
  </si>
  <si>
    <t>Misua</t>
  </si>
  <si>
    <t>Long cow sotanghon</t>
  </si>
  <si>
    <t>Nissin Ramen Beef 55g</t>
  </si>
  <si>
    <t>Nissin Ramen Spicy Seafood 59g</t>
  </si>
  <si>
    <t>Nissin Ramen Seafood 55g</t>
  </si>
  <si>
    <t>Mix-nuts</t>
  </si>
  <si>
    <t>Ding Dong orange</t>
  </si>
  <si>
    <t>Ding Dong red</t>
  </si>
  <si>
    <t>Ding Dong sweet chili black</t>
  </si>
  <si>
    <t>Ding Dong 95g big</t>
  </si>
  <si>
    <t>DingDong Mixed nuts 100g</t>
  </si>
  <si>
    <t>Boy Bawang Adobo 90g</t>
  </si>
  <si>
    <t>Boy Bawang BBQ 90g</t>
  </si>
  <si>
    <t>Boy Bawang Garlic 90g</t>
  </si>
  <si>
    <t>Boy Bawang chili cheese 80g</t>
  </si>
  <si>
    <t>Boy Bawang Lechon Manok 80g</t>
  </si>
  <si>
    <t>Boy Bawang assorted nuts 80g</t>
  </si>
  <si>
    <t>Nuts</t>
  </si>
  <si>
    <t>Happy blue</t>
  </si>
  <si>
    <t>Happy brown</t>
  </si>
  <si>
    <t>Happy black</t>
  </si>
  <si>
    <t>Happy green</t>
  </si>
  <si>
    <t>Happy red</t>
  </si>
  <si>
    <t>Candy</t>
  </si>
  <si>
    <t>Gummy worm (3pcs)</t>
  </si>
  <si>
    <t>Col Potchi Gummy Worm (4pcs)</t>
  </si>
  <si>
    <t>Mentos (4pcs)</t>
  </si>
  <si>
    <t>Flat Tops</t>
  </si>
  <si>
    <t>Lollipop</t>
  </si>
  <si>
    <t>Nipz</t>
  </si>
  <si>
    <t>Max candy (4pcs)</t>
  </si>
  <si>
    <t>Cloud 9 Classic</t>
  </si>
  <si>
    <t>Cloud 9 Fudge</t>
  </si>
  <si>
    <t>Hany (small)</t>
  </si>
  <si>
    <t>Hany (Big)</t>
  </si>
  <si>
    <t>Frutos (4pcs)</t>
  </si>
  <si>
    <t>Hao-Hao (4pcs)</t>
  </si>
  <si>
    <t>Lips candy (4pcs)</t>
  </si>
  <si>
    <t>Champi Choco (4pcs)</t>
  </si>
  <si>
    <t>judge Chewing gum (3pcs)</t>
  </si>
  <si>
    <t>V-Fresh chewing gum</t>
  </si>
  <si>
    <t>Viva candy caramel (4pcs)</t>
  </si>
  <si>
    <t>XO (4pcs)</t>
  </si>
  <si>
    <t>Jumbo Cone Double Dutch 140ml</t>
  </si>
  <si>
    <t>Jumbo Cone Cookies &amp; Cream 140ml</t>
  </si>
  <si>
    <t>Jumbo Cone Rocky Road 140ml</t>
  </si>
  <si>
    <t>Jumbo Cone UbeQueso Pastillas 140ml</t>
  </si>
  <si>
    <t>Jumbo Cone Mango Peanut Caramel 140ml</t>
  </si>
  <si>
    <t>Cream Cone Rocky Road 110ml</t>
  </si>
  <si>
    <t>Cream Cone Ube Macapuno 110ml</t>
  </si>
  <si>
    <t>Cream Cone Cookies &amp; Cream 110ml</t>
  </si>
  <si>
    <t>Cream Cone Berry Choco 110ml</t>
  </si>
  <si>
    <t>Cream Cone Choco Queso 110ml</t>
  </si>
  <si>
    <t>Cream Bar Buko Salad 85ml</t>
  </si>
  <si>
    <t>Cream Bar Cookies &amp; Cream 85ml</t>
  </si>
  <si>
    <t>Cream Bar UbeQueso Pastillas 85ml</t>
  </si>
  <si>
    <t>Cream Bar Rocky Road 85ml</t>
  </si>
  <si>
    <t>Pinipig Chocolate 70ml</t>
  </si>
  <si>
    <t>Pinipig Strawberry 70ml</t>
  </si>
  <si>
    <t>Fruit Lolly's Grapes 40ml</t>
  </si>
  <si>
    <t>Fruit Lolly's Green Apple 40ml</t>
  </si>
  <si>
    <t>Fruit Lolly's Watermelon 40ml</t>
  </si>
  <si>
    <t>Popsipop Strawberry 40ml</t>
  </si>
  <si>
    <t>Milky Pop Lolly Milk Choco 60ml</t>
  </si>
  <si>
    <t>Pinoy Classic Monggo 60ml</t>
  </si>
  <si>
    <t>Pinoy Classic Ube Monggo 60ml</t>
  </si>
  <si>
    <t>Cream Cup Choco Mallows 210ml</t>
  </si>
  <si>
    <t>Cream Cup Choco Mud Pie 210ml</t>
  </si>
  <si>
    <t>Sundae Chocolate 120ml</t>
  </si>
  <si>
    <t>Sundae Strawberry 120ml</t>
  </si>
  <si>
    <t>Mini Cups Choco 75ml</t>
  </si>
  <si>
    <t>Mini Cups Choco Marbie 75ml</t>
  </si>
  <si>
    <t>Family Duo Rocky Road + Vanilla CH 950ml</t>
  </si>
  <si>
    <t>Family Duo Cookies &amp; Cream + Choco 950ml</t>
  </si>
  <si>
    <t>Family Duo Buko Salad + Ube 950ml</t>
  </si>
  <si>
    <t>Rocky Road 1.3L</t>
  </si>
  <si>
    <t>Coffee</t>
  </si>
  <si>
    <t>Nescafe Sugar free</t>
  </si>
  <si>
    <t>Nescafe Original</t>
  </si>
  <si>
    <t>Nescafe creamy latte 40g</t>
  </si>
  <si>
    <t>Nescafe classic Stick</t>
  </si>
  <si>
    <t>Nescafe classic 20g</t>
  </si>
  <si>
    <t>Kopiko Black</t>
  </si>
  <si>
    <t>Kopiko Brown</t>
  </si>
  <si>
    <t>Kopiko Blanca</t>
  </si>
  <si>
    <t>Great Taste Choco Coffee</t>
  </si>
  <si>
    <t>Great Taste Choco Coffee single</t>
  </si>
  <si>
    <t>Great Taste white</t>
  </si>
  <si>
    <t>Great Taste Ganules 25g</t>
  </si>
  <si>
    <t>Coffeemate</t>
  </si>
  <si>
    <t>Cream All 60g</t>
  </si>
  <si>
    <t>Angel c.creamer 80g</t>
  </si>
  <si>
    <t>Coffee Mate 80g</t>
  </si>
  <si>
    <t>Milk</t>
  </si>
  <si>
    <t>Birch Tree</t>
  </si>
  <si>
    <t>Bearbrand milk 30g</t>
  </si>
  <si>
    <t>Choco Milk</t>
  </si>
  <si>
    <t>Energen champ 30g</t>
  </si>
  <si>
    <t>Energen Choco 40g</t>
  </si>
  <si>
    <t>Energen Choco Twin 35g</t>
  </si>
  <si>
    <t>Milo 24g</t>
  </si>
  <si>
    <t>Bearbrand choco milk 29g</t>
  </si>
  <si>
    <t>Vitamilk Double choco 300ml</t>
  </si>
  <si>
    <t>Vitamilk Double choco 250ml (Tetra)</t>
  </si>
  <si>
    <t>Seasoning</t>
  </si>
  <si>
    <t>Knorr sinigang mix original 22g</t>
  </si>
  <si>
    <t>Knorr Sinigang Gabi 11g</t>
  </si>
  <si>
    <t>Knorr Sinigang Gabi 22g</t>
  </si>
  <si>
    <t>Maggi Sinigang Mix 25g</t>
  </si>
  <si>
    <t>Knorr liquid seasoning 12ml</t>
  </si>
  <si>
    <t>Knorr Chicken Cube 10g</t>
  </si>
  <si>
    <t>Knorr Beef Cube 10g</t>
  </si>
  <si>
    <t>Knorr Pork Cube 10g</t>
  </si>
  <si>
    <t>Knorr Shrimp Cube 10g</t>
  </si>
  <si>
    <t>UFC Ketchup 100g</t>
  </si>
  <si>
    <t>UFC Banana Catsup 200g</t>
  </si>
  <si>
    <t>UFC Banana Catsup 320g</t>
  </si>
  <si>
    <t>UFC Tomato Sauce 115g</t>
  </si>
  <si>
    <t>UFC Sweet Chili Sauce 90g</t>
  </si>
  <si>
    <t>Del Monte Sweet Chili Sauce 320g</t>
  </si>
  <si>
    <t>Ajinomoto</t>
  </si>
  <si>
    <t>Magic Sarap 8g</t>
  </si>
  <si>
    <t>Lorins Patis 150ml</t>
  </si>
  <si>
    <t>Lorins Patis 350ml</t>
  </si>
  <si>
    <t>Silver swan vinegar 200ml</t>
  </si>
  <si>
    <t>Silver swan soy sauce 200ml 12s</t>
  </si>
  <si>
    <t>Silver swan soy sauce 100ml</t>
  </si>
  <si>
    <t>Select Suka 350ml</t>
  </si>
  <si>
    <t>Select Cane vinegar 350ml</t>
  </si>
  <si>
    <t>Select Toyo 350ml</t>
  </si>
  <si>
    <t>Laurel</t>
  </si>
  <si>
    <t>Paminta Buo</t>
  </si>
  <si>
    <t>Paminta Durog</t>
  </si>
  <si>
    <t>Paminta Pino</t>
  </si>
  <si>
    <t>Oyster sauce mamasitas 30g</t>
  </si>
  <si>
    <t>Oyster sauce mamasitas 60g</t>
  </si>
  <si>
    <t>Ajinomoto Crispy Fry Original 62g 1kilo</t>
  </si>
  <si>
    <t>Ajinomoto Crispy Fry Original 30g 1/2kilo</t>
  </si>
  <si>
    <t>Coco Mama 200ml</t>
  </si>
  <si>
    <t>Mang Tomas bottle (325g)</t>
  </si>
  <si>
    <t>Mang Tomas pouch (100g)</t>
  </si>
  <si>
    <t>Bawang</t>
  </si>
  <si>
    <t>Sibuyas</t>
  </si>
  <si>
    <t>Luya</t>
  </si>
  <si>
    <t>Kamatis</t>
  </si>
  <si>
    <t>Kalamansi</t>
  </si>
  <si>
    <t>Canned goods</t>
  </si>
  <si>
    <t>Jolly Mushroom pouch</t>
  </si>
  <si>
    <t>555 Tuna Caldereta 155g</t>
  </si>
  <si>
    <t>555 Tuna Afritada 155g</t>
  </si>
  <si>
    <t>555 Tuna Sisig 155g</t>
  </si>
  <si>
    <t>555 Tuna Adobo 155g</t>
  </si>
  <si>
    <t>555 Carne Norte 155g</t>
  </si>
  <si>
    <t>Sanmarino corned tuna 150g</t>
  </si>
  <si>
    <t>Sanmarino chili corned tuna 150g</t>
  </si>
  <si>
    <t>Highlands corned beef 150g</t>
  </si>
  <si>
    <t>Highlands corned beef 260g</t>
  </si>
  <si>
    <t>Highlands corned beef Gold 210g</t>
  </si>
  <si>
    <t>Argentina Corned Beef 150g</t>
  </si>
  <si>
    <t>Argentina Meatloaf 170g</t>
  </si>
  <si>
    <t>Argentina Beefloaf 170g</t>
  </si>
  <si>
    <t>Purefoods Chunkee Corned Beef 150g</t>
  </si>
  <si>
    <t>Purefoods Corned Beef 150g</t>
  </si>
  <si>
    <t>Century Tuna Flakes &amp; Oil 155g</t>
  </si>
  <si>
    <t>Century Tuna Hot &amp; Spicy 155g</t>
  </si>
  <si>
    <t>Purefoods Luncheon Meat 230g</t>
  </si>
  <si>
    <t>Purefoods Chinese Style Luncheon Meat 350g</t>
  </si>
  <si>
    <t>Mega sardines red</t>
  </si>
  <si>
    <t>Mega sardines green</t>
  </si>
  <si>
    <t>555 sardines red</t>
  </si>
  <si>
    <t>555 sardines green</t>
  </si>
  <si>
    <t>Reno small</t>
  </si>
  <si>
    <t>Bread</t>
  </si>
  <si>
    <t>Tinapay</t>
  </si>
  <si>
    <t>Palaman</t>
  </si>
  <si>
    <t>Ladies Choice bacon spread 27ml</t>
  </si>
  <si>
    <t>Ladies Choice ham spread 27ml</t>
  </si>
  <si>
    <t>Ladies Choice mayonnaise 27ml</t>
  </si>
  <si>
    <t>Cheezwhiz Original Twin 24g</t>
  </si>
  <si>
    <t>Eden Cheese</t>
  </si>
  <si>
    <t>Eggs</t>
  </si>
  <si>
    <t>Egg White Large</t>
  </si>
  <si>
    <t>Egg White Medium</t>
  </si>
  <si>
    <t>Salted Egg Large</t>
  </si>
  <si>
    <t>Palm Oil</t>
  </si>
  <si>
    <t>Mantika Bottle 400ml (bilog)</t>
  </si>
  <si>
    <t>Mantika 400ml</t>
  </si>
  <si>
    <t>Mantika Bottle 200ml (bilog)</t>
  </si>
  <si>
    <t>Mantika 100ml</t>
  </si>
  <si>
    <t>Rice</t>
  </si>
  <si>
    <t>Sugar</t>
  </si>
  <si>
    <t>Sugar washed 1/4</t>
  </si>
  <si>
    <t>Sugar washed 1/2</t>
  </si>
  <si>
    <t>Sugar brown 1/4</t>
  </si>
  <si>
    <t>Sugar brown 1/2</t>
  </si>
  <si>
    <t>Sugar white 1/4</t>
  </si>
  <si>
    <t>Salt</t>
  </si>
  <si>
    <t>Asin</t>
  </si>
  <si>
    <t>Sanitary Napkin</t>
  </si>
  <si>
    <t>Charmee Night Xtra</t>
  </si>
  <si>
    <t>Charmee Night</t>
  </si>
  <si>
    <t>Charmee Cottony</t>
  </si>
  <si>
    <t>Care Free panty liner</t>
  </si>
  <si>
    <t>Cotton</t>
  </si>
  <si>
    <t>Sanicare cotton 10g</t>
  </si>
  <si>
    <t>Deodorant</t>
  </si>
  <si>
    <t>Rexona Pink</t>
  </si>
  <si>
    <t>Rexona Green</t>
  </si>
  <si>
    <t>Rexona Blue</t>
  </si>
  <si>
    <t>Rexona White</t>
  </si>
  <si>
    <t>Rexona Black</t>
  </si>
  <si>
    <t>Detergent</t>
  </si>
  <si>
    <t>Surf powder rose 65g</t>
  </si>
  <si>
    <t>Surf powder sun fresh 65g (yellow)</t>
  </si>
  <si>
    <t>Surf cherry 65g  (orange)</t>
  </si>
  <si>
    <t>Surf cut Tawas 120g</t>
  </si>
  <si>
    <t>Surf cut Kalamansi 120g</t>
  </si>
  <si>
    <t>Ariel Powder Sunrise Fresh 70g (white)</t>
  </si>
  <si>
    <t>Ariel gardenblossom 70g (pink)</t>
  </si>
  <si>
    <t>Champion powder</t>
  </si>
  <si>
    <t xml:space="preserve">Champion bar original </t>
  </si>
  <si>
    <t>Tide powder</t>
  </si>
  <si>
    <t>Tide powder perfume fantasy 74g</t>
  </si>
  <si>
    <t>Tide bar nature fresh 125g</t>
  </si>
  <si>
    <t>Chlorine</t>
  </si>
  <si>
    <t>Dulox 500ml</t>
  </si>
  <si>
    <t>Dulox 250ml</t>
  </si>
  <si>
    <t>Dulox 100ml</t>
  </si>
  <si>
    <t>Zonrox color safe 30ml</t>
  </si>
  <si>
    <t>Zonrox color safe bottle 95ml</t>
  </si>
  <si>
    <t>Zonrox lemon bottle 100ml</t>
  </si>
  <si>
    <t>Zonrox Color safe 225ml</t>
  </si>
  <si>
    <t>Chlorine powder</t>
  </si>
  <si>
    <t>Fabcon</t>
  </si>
  <si>
    <t>Champion fabcon pink fresh 28ml</t>
  </si>
  <si>
    <t>Champion fabcon freshday 28ml (Blue)</t>
  </si>
  <si>
    <t>Champion fabcon serenity 28ml (violet)</t>
  </si>
  <si>
    <t>Downy Garden Bloom 38ml (pink)</t>
  </si>
  <si>
    <t>Downy Garden Bloom 26ml (pink)</t>
  </si>
  <si>
    <t>Downy Perfume sunrisefresh 26ml (blue)</t>
  </si>
  <si>
    <t>Downy Eye Dry 22ml (green)</t>
  </si>
  <si>
    <t>Downy antibac 22ml (blue)</t>
  </si>
  <si>
    <t>Downy antibac + Kontra Kulob 2x washes (Green)</t>
  </si>
  <si>
    <t>Surf Fabcon Anti Bacterial 25ml (white)</t>
  </si>
  <si>
    <t>Surf Fabcon Blossom Fresh 28ml (pink)</t>
  </si>
  <si>
    <t>Surf FC Fresh &amp; Blossom 28ml (blue)</t>
  </si>
  <si>
    <t>Surf FC luxe perfume 25ml (red)</t>
  </si>
  <si>
    <t>Del Fabcon Purple 26ml</t>
  </si>
  <si>
    <t>Del Fabcon Blue 26ml</t>
  </si>
  <si>
    <t>Dishwashing</t>
  </si>
  <si>
    <t>Joy antibac 36ml</t>
  </si>
  <si>
    <t>Joy dishashing calamansi 40ml</t>
  </si>
  <si>
    <t>Joy dishashing calamansi 18.5ml</t>
  </si>
  <si>
    <t>Conditioner</t>
  </si>
  <si>
    <t>Creamsilk dcontrol 11ml (Orange)</t>
  </si>
  <si>
    <t>Creamsilk dry rescue 11ml (Orange)</t>
  </si>
  <si>
    <t>Creamsilk green 13ml</t>
  </si>
  <si>
    <t>Creamsilk pink 22ml</t>
  </si>
  <si>
    <t>Shampoo</t>
  </si>
  <si>
    <t>Head&amp;Shoulder green 12ml</t>
  </si>
  <si>
    <t xml:space="preserve">Head&amp;Shoulder pink 12ml </t>
  </si>
  <si>
    <t>Palmolive shampoo green 15ml</t>
  </si>
  <si>
    <t>Palmolive shampoo pink 15ml</t>
  </si>
  <si>
    <t xml:space="preserve">Sunsilk Pink 15ml </t>
  </si>
  <si>
    <t>Clear c.sprt 12ml</t>
  </si>
  <si>
    <t>Keratin Gold 20g</t>
  </si>
  <si>
    <t>Keratin Red 20g</t>
  </si>
  <si>
    <t>Soap</t>
  </si>
  <si>
    <t>Safeguard white 60g</t>
  </si>
  <si>
    <t>Safeguard pink 60g</t>
  </si>
  <si>
    <t>Safeguard white camellia 60g</t>
  </si>
  <si>
    <t xml:space="preserve">Bioderm pink </t>
  </si>
  <si>
    <t>Bioderm Blue</t>
  </si>
  <si>
    <t>Powder</t>
  </si>
  <si>
    <t>Johnsons Baby Powder Bedtime 25g</t>
  </si>
  <si>
    <t>Johnsons Baby Powder P Blossom 25g</t>
  </si>
  <si>
    <t>Johnsons Baby Powder Regular 25g</t>
  </si>
  <si>
    <t>Tendercare face powder (small)</t>
  </si>
  <si>
    <t>Oil</t>
  </si>
  <si>
    <t>Johnsons Baby Oil</t>
  </si>
  <si>
    <t xml:space="preserve">Alco+ alcohol ethyl 70% 60ml </t>
  </si>
  <si>
    <t>Toothpaste</t>
  </si>
  <si>
    <t>Close Up Red 20g</t>
  </si>
  <si>
    <t xml:space="preserve">Colgate </t>
  </si>
  <si>
    <t>Water</t>
  </si>
  <si>
    <t>Wilkin's water 330ml</t>
  </si>
  <si>
    <t>Wilkin's water 500ml</t>
  </si>
  <si>
    <t>Wilkin's water 1Liter</t>
  </si>
  <si>
    <t>Wilkin's water 7Liter</t>
  </si>
  <si>
    <t>Candle</t>
  </si>
  <si>
    <t>Sanmoon small No.5</t>
  </si>
  <si>
    <t>Sanmoon small No.12</t>
  </si>
  <si>
    <t>Liwanag 14x4's white</t>
  </si>
  <si>
    <t>Liwanag 16x4's white</t>
  </si>
  <si>
    <t>Battery</t>
  </si>
  <si>
    <t>Kingever battery Double AA</t>
  </si>
  <si>
    <t>Kingever battery Triple AAA</t>
  </si>
  <si>
    <t>OTHERS</t>
  </si>
  <si>
    <t>BBQ stick</t>
  </si>
  <si>
    <t>Wet wipes</t>
  </si>
  <si>
    <t>Tuyo</t>
  </si>
  <si>
    <t>Acetone</t>
  </si>
  <si>
    <t>Cuticle Remover</t>
  </si>
  <si>
    <t>Marker double tip</t>
  </si>
  <si>
    <t>Sando Bag</t>
  </si>
  <si>
    <t>Paper Plate</t>
  </si>
  <si>
    <t>Paper cup</t>
  </si>
  <si>
    <t>Plastic cup</t>
  </si>
  <si>
    <t>Plastic spoon</t>
  </si>
  <si>
    <t>Plastic fork</t>
  </si>
  <si>
    <t>Toothbrush</t>
  </si>
  <si>
    <t>Lighter w/flashlight</t>
  </si>
  <si>
    <t>Posporo</t>
  </si>
  <si>
    <t>Blade</t>
  </si>
  <si>
    <t>Kingever Razor Blue</t>
  </si>
  <si>
    <t>Armak Tape 18mm</t>
  </si>
  <si>
    <t>P.P Tape</t>
  </si>
  <si>
    <t>Crown Bond (Super Glue)</t>
  </si>
  <si>
    <t>Sponge</t>
  </si>
  <si>
    <t>Tissue roll</t>
  </si>
  <si>
    <t>Smile Tissue</t>
  </si>
  <si>
    <t>Roll bag</t>
  </si>
  <si>
    <t>Giftwrap</t>
  </si>
  <si>
    <t>Ampao Big</t>
  </si>
  <si>
    <t>Ampao small</t>
  </si>
  <si>
    <t>Plastic for Ice 5x12</t>
  </si>
  <si>
    <t>Supplies</t>
  </si>
  <si>
    <t>Art Paper assorted color</t>
  </si>
  <si>
    <t>Bulletin Pin</t>
  </si>
  <si>
    <t>Pad Paper Easywrite</t>
  </si>
  <si>
    <t>Ballpen retractable</t>
  </si>
  <si>
    <t>Glue 40ml</t>
  </si>
  <si>
    <t>Glue stick</t>
  </si>
  <si>
    <t>Whiteboard marker</t>
  </si>
  <si>
    <t>Double Tip pen</t>
  </si>
  <si>
    <t>Ruler 20cm</t>
  </si>
  <si>
    <t>Ballpen 0.5mm black</t>
  </si>
  <si>
    <t>Ballpen 0.7mm black</t>
  </si>
  <si>
    <t>Pink Pencil</t>
  </si>
  <si>
    <t>Sharpener</t>
  </si>
  <si>
    <t>Eraser</t>
  </si>
  <si>
    <t>Pencil Yellow</t>
  </si>
  <si>
    <t>Bond paper letter size</t>
  </si>
  <si>
    <t>Permanent marker</t>
  </si>
  <si>
    <t>Yellow pad (3pcs)</t>
  </si>
  <si>
    <t>Medicine</t>
  </si>
  <si>
    <t>Eficascent oil Green</t>
  </si>
  <si>
    <t>Eficascent oil White</t>
  </si>
  <si>
    <t>Band-Aid</t>
  </si>
  <si>
    <t>Salonpas 10s</t>
  </si>
  <si>
    <t>Biogesic</t>
  </si>
  <si>
    <t>Neozep</t>
  </si>
  <si>
    <t>Bioflu</t>
  </si>
  <si>
    <t>Mefenamic 250g</t>
  </si>
  <si>
    <t>Mefenamic 500g</t>
  </si>
  <si>
    <t>Decolgen</t>
  </si>
  <si>
    <t>Alaxan FR</t>
  </si>
  <si>
    <t>Tuseran Forte</t>
  </si>
  <si>
    <t>Symdex-D</t>
  </si>
  <si>
    <t>Medicol</t>
  </si>
  <si>
    <t>Diatabs</t>
  </si>
  <si>
    <t>Solmux</t>
  </si>
  <si>
    <t>Cetirizine</t>
  </si>
  <si>
    <t>Cream Line</t>
  </si>
  <si>
    <t>Selecta</t>
  </si>
  <si>
    <t>Selecta Ooh Boom Cookies &amp; Cream 60ml</t>
  </si>
  <si>
    <t>Selecta Ooh Boom Choco 60ml</t>
  </si>
  <si>
    <t>Selecta Boom Max Berry Crunchy 65ml</t>
  </si>
  <si>
    <t>Selecta Boom Max Choco Crunchy 65ml</t>
  </si>
  <si>
    <t>Cornetto Disc Black Choco Cookie 115ml</t>
  </si>
  <si>
    <t>Cornetto Chocolate 100ml</t>
  </si>
  <si>
    <t>Cornetto Pooh Cookies &amp; Dream 110ml</t>
  </si>
  <si>
    <t>Cornetto Vanilla 100ml</t>
  </si>
  <si>
    <t>Selecta Cups Ube 100ml</t>
  </si>
  <si>
    <t>Selecta Ooh Watermelon Slice 60ml</t>
  </si>
  <si>
    <t>Selecta Ooh Ice Pop Berry Choco 35ml</t>
  </si>
  <si>
    <t>Selecta ooh Chocky Stick 45ml</t>
  </si>
  <si>
    <t>Bigas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</si>
</sst>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165" fontId="4" fillId="0" borderId="1" xfId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E17F-9EF7-4381-AA75-9B7F3775D0AB}">
  <dimension ref="A1:D577"/>
  <sheetViews>
    <sheetView tabSelected="1" workbookViewId="0">
      <selection activeCell="D29" sqref="D29"/>
    </sheetView>
  </sheetViews>
  <sheetFormatPr defaultRowHeight="14.25"/>
  <cols>
    <col min="1" max="1" width="10.75" customWidth="1"/>
  </cols>
  <sheetData>
    <row r="1" spans="1:4" ht="30">
      <c r="A1" s="1" t="s">
        <v>1</v>
      </c>
      <c r="B1" s="2" t="s">
        <v>2</v>
      </c>
      <c r="C1" s="2" t="s">
        <v>3</v>
      </c>
      <c r="D1" s="1" t="s">
        <v>0</v>
      </c>
    </row>
    <row r="2" spans="1:4">
      <c r="A2" s="3" t="s">
        <v>5</v>
      </c>
      <c r="B2" s="4">
        <v>150</v>
      </c>
      <c r="C2" s="4">
        <v>130.94999999999999</v>
      </c>
      <c r="D2" s="3" t="s">
        <v>4</v>
      </c>
    </row>
    <row r="3" spans="1:4">
      <c r="A3" s="3" t="s">
        <v>6</v>
      </c>
      <c r="B3" s="4">
        <v>75</v>
      </c>
      <c r="C3" s="4">
        <v>65.900000000000006</v>
      </c>
      <c r="D3" s="3" t="s">
        <v>4</v>
      </c>
    </row>
    <row r="4" spans="1:4">
      <c r="A4" s="3" t="s">
        <v>7</v>
      </c>
      <c r="B4" s="4">
        <v>350</v>
      </c>
      <c r="C4" s="4">
        <v>284</v>
      </c>
      <c r="D4" s="3" t="s">
        <v>4</v>
      </c>
    </row>
    <row r="5" spans="1:4">
      <c r="A5" s="3" t="s">
        <v>8</v>
      </c>
      <c r="B5" s="4">
        <v>310</v>
      </c>
      <c r="C5" s="4">
        <v>253</v>
      </c>
      <c r="D5" s="3" t="s">
        <v>4</v>
      </c>
    </row>
    <row r="6" spans="1:4">
      <c r="A6" s="3" t="s">
        <v>9</v>
      </c>
      <c r="B6" s="4">
        <v>440</v>
      </c>
      <c r="C6" s="5">
        <f>11.8*58.60978/2</f>
        <v>345.79770200000002</v>
      </c>
      <c r="D6" s="3" t="s">
        <v>4</v>
      </c>
    </row>
    <row r="7" spans="1:4">
      <c r="A7" s="3" t="s">
        <v>10</v>
      </c>
      <c r="B7" s="4">
        <v>55</v>
      </c>
      <c r="C7" s="4">
        <v>44.17</v>
      </c>
      <c r="D7" s="3" t="s">
        <v>4</v>
      </c>
    </row>
    <row r="8" spans="1:4">
      <c r="A8" s="3" t="s">
        <v>11</v>
      </c>
      <c r="B8" s="4">
        <v>50</v>
      </c>
      <c r="C8" s="4">
        <v>38</v>
      </c>
      <c r="D8" s="3" t="s">
        <v>4</v>
      </c>
    </row>
    <row r="9" spans="1:4">
      <c r="A9" s="3" t="s">
        <v>12</v>
      </c>
      <c r="B9" s="4">
        <v>55</v>
      </c>
      <c r="C9" s="4">
        <v>38.42</v>
      </c>
      <c r="D9" s="3" t="s">
        <v>4</v>
      </c>
    </row>
    <row r="10" spans="1:4">
      <c r="A10" s="3" t="s">
        <v>13</v>
      </c>
      <c r="B10" s="4">
        <v>70</v>
      </c>
      <c r="C10" s="4">
        <v>56.67</v>
      </c>
      <c r="D10" s="3" t="s">
        <v>4</v>
      </c>
    </row>
    <row r="11" spans="1:4">
      <c r="A11" s="3" t="s">
        <v>14</v>
      </c>
      <c r="B11" s="4">
        <v>780</v>
      </c>
      <c r="C11" s="4">
        <v>620</v>
      </c>
      <c r="D11" s="3" t="s">
        <v>4</v>
      </c>
    </row>
    <row r="12" spans="1:4">
      <c r="A12" s="3" t="s">
        <v>15</v>
      </c>
      <c r="B12" s="4">
        <v>140</v>
      </c>
      <c r="C12" s="4">
        <v>116.67</v>
      </c>
      <c r="D12" s="3" t="s">
        <v>4</v>
      </c>
    </row>
    <row r="13" spans="1:4">
      <c r="A13" s="3" t="s">
        <v>16</v>
      </c>
      <c r="B13" s="4">
        <v>150</v>
      </c>
      <c r="C13" s="4">
        <v>131.25</v>
      </c>
      <c r="D13" s="3" t="s">
        <v>4</v>
      </c>
    </row>
    <row r="14" spans="1:4">
      <c r="A14" s="3" t="s">
        <v>17</v>
      </c>
      <c r="B14" s="4">
        <v>210</v>
      </c>
      <c r="C14" s="4">
        <v>180</v>
      </c>
      <c r="D14" s="3" t="s">
        <v>4</v>
      </c>
    </row>
    <row r="15" spans="1:4">
      <c r="A15" s="3" t="s">
        <v>18</v>
      </c>
      <c r="B15" s="4">
        <v>150</v>
      </c>
      <c r="C15" s="4">
        <v>131.25</v>
      </c>
      <c r="D15" s="3" t="s">
        <v>4</v>
      </c>
    </row>
    <row r="16" spans="1:4">
      <c r="A16" s="3" t="s">
        <v>19</v>
      </c>
      <c r="B16" s="4">
        <v>150</v>
      </c>
      <c r="C16" s="4">
        <v>131.25</v>
      </c>
      <c r="D16" s="3" t="s">
        <v>4</v>
      </c>
    </row>
    <row r="17" spans="1:4">
      <c r="A17" s="3" t="s">
        <v>20</v>
      </c>
      <c r="B17" s="4">
        <v>200</v>
      </c>
      <c r="C17" s="4">
        <v>167</v>
      </c>
      <c r="D17" s="3" t="s">
        <v>4</v>
      </c>
    </row>
    <row r="18" spans="1:4">
      <c r="A18" s="3" t="s">
        <v>21</v>
      </c>
      <c r="B18" s="4">
        <v>150</v>
      </c>
      <c r="C18" s="4">
        <v>120</v>
      </c>
      <c r="D18" s="3" t="s">
        <v>4</v>
      </c>
    </row>
    <row r="19" spans="1:4">
      <c r="A19" s="3" t="s">
        <v>22</v>
      </c>
      <c r="B19" s="4">
        <v>75</v>
      </c>
      <c r="C19" s="4">
        <v>62</v>
      </c>
      <c r="D19" s="3" t="s">
        <v>4</v>
      </c>
    </row>
    <row r="20" spans="1:4">
      <c r="A20" s="3" t="s">
        <v>23</v>
      </c>
      <c r="B20" s="4">
        <v>75</v>
      </c>
      <c r="C20" s="4">
        <v>62</v>
      </c>
      <c r="D20" s="3" t="s">
        <v>4</v>
      </c>
    </row>
    <row r="21" spans="1:4">
      <c r="A21" s="3" t="s">
        <v>25</v>
      </c>
      <c r="B21" s="4">
        <v>25</v>
      </c>
      <c r="C21" s="4">
        <v>18.940000000000001</v>
      </c>
      <c r="D21" s="3" t="s">
        <v>24</v>
      </c>
    </row>
    <row r="22" spans="1:4">
      <c r="A22" s="3" t="s">
        <v>26</v>
      </c>
      <c r="B22" s="4">
        <v>25</v>
      </c>
      <c r="C22" s="4">
        <v>18.940000000000001</v>
      </c>
      <c r="D22" s="3" t="s">
        <v>24</v>
      </c>
    </row>
    <row r="23" spans="1:4">
      <c r="A23" s="3" t="s">
        <v>27</v>
      </c>
      <c r="B23" s="4">
        <v>25</v>
      </c>
      <c r="C23" s="4">
        <v>18.940000000000001</v>
      </c>
      <c r="D23" s="3" t="s">
        <v>24</v>
      </c>
    </row>
    <row r="24" spans="1:4">
      <c r="A24" s="3" t="s">
        <v>28</v>
      </c>
      <c r="B24" s="4">
        <v>25</v>
      </c>
      <c r="C24" s="4">
        <v>18.940000000000001</v>
      </c>
      <c r="D24" s="3" t="s">
        <v>24</v>
      </c>
    </row>
    <row r="25" spans="1:4">
      <c r="A25" s="3" t="s">
        <v>29</v>
      </c>
      <c r="B25" s="4">
        <v>25</v>
      </c>
      <c r="C25" s="4">
        <v>18.940000000000001</v>
      </c>
      <c r="D25" s="3" t="s">
        <v>24</v>
      </c>
    </row>
    <row r="26" spans="1:4">
      <c r="A26" s="3" t="s">
        <v>30</v>
      </c>
      <c r="B26" s="4">
        <v>25</v>
      </c>
      <c r="C26" s="4">
        <v>18.940000000000001</v>
      </c>
      <c r="D26" s="3" t="s">
        <v>24</v>
      </c>
    </row>
    <row r="27" spans="1:4">
      <c r="A27" s="3" t="s">
        <v>31</v>
      </c>
      <c r="B27" s="4">
        <v>18</v>
      </c>
      <c r="C27" s="7">
        <v>13</v>
      </c>
      <c r="D27" s="3" t="s">
        <v>24</v>
      </c>
    </row>
    <row r="28" spans="1:4">
      <c r="A28" s="3" t="s">
        <v>32</v>
      </c>
      <c r="B28" s="4">
        <v>30</v>
      </c>
      <c r="C28" s="7">
        <v>25</v>
      </c>
      <c r="D28" s="3" t="s">
        <v>24</v>
      </c>
    </row>
    <row r="29" spans="1:4">
      <c r="A29" s="3" t="s">
        <v>33</v>
      </c>
      <c r="B29" s="4">
        <v>18</v>
      </c>
      <c r="C29" s="7">
        <v>13</v>
      </c>
      <c r="D29" s="3" t="s">
        <v>24</v>
      </c>
    </row>
    <row r="30" spans="1:4">
      <c r="A30" s="3" t="s">
        <v>34</v>
      </c>
      <c r="B30" s="4">
        <v>18</v>
      </c>
      <c r="C30" s="7">
        <v>13</v>
      </c>
      <c r="D30" s="3" t="s">
        <v>24</v>
      </c>
    </row>
    <row r="31" spans="1:4">
      <c r="A31" s="3" t="s">
        <v>35</v>
      </c>
      <c r="B31" s="4">
        <v>25</v>
      </c>
      <c r="C31" s="7">
        <v>19.5</v>
      </c>
      <c r="D31" s="3" t="s">
        <v>24</v>
      </c>
    </row>
    <row r="32" spans="1:4">
      <c r="A32" s="3" t="s">
        <v>36</v>
      </c>
      <c r="B32" s="4">
        <v>25</v>
      </c>
      <c r="C32" s="7">
        <v>21.95</v>
      </c>
      <c r="D32" s="3" t="s">
        <v>24</v>
      </c>
    </row>
    <row r="33" spans="1:4">
      <c r="A33" s="3" t="s">
        <v>37</v>
      </c>
      <c r="B33" s="4">
        <v>25</v>
      </c>
      <c r="C33" s="7">
        <v>19.5</v>
      </c>
      <c r="D33" s="3" t="s">
        <v>24</v>
      </c>
    </row>
    <row r="34" spans="1:4">
      <c r="A34" s="3" t="s">
        <v>38</v>
      </c>
      <c r="B34" s="4">
        <v>10</v>
      </c>
      <c r="C34" s="7">
        <v>7.5</v>
      </c>
      <c r="D34" s="3" t="s">
        <v>24</v>
      </c>
    </row>
    <row r="35" spans="1:4">
      <c r="A35" s="3" t="s">
        <v>39</v>
      </c>
      <c r="B35" s="4">
        <v>10</v>
      </c>
      <c r="C35" s="7">
        <v>7.5</v>
      </c>
      <c r="D35" s="3" t="s">
        <v>24</v>
      </c>
    </row>
    <row r="36" spans="1:4">
      <c r="A36" s="3" t="s">
        <v>40</v>
      </c>
      <c r="B36" s="4">
        <v>10</v>
      </c>
      <c r="C36" s="7">
        <v>7.5</v>
      </c>
      <c r="D36" s="3" t="s">
        <v>24</v>
      </c>
    </row>
    <row r="37" spans="1:4">
      <c r="A37" s="3" t="s">
        <v>41</v>
      </c>
      <c r="B37" s="4">
        <v>13</v>
      </c>
      <c r="C37" s="7">
        <v>10.4</v>
      </c>
      <c r="D37" s="3" t="s">
        <v>24</v>
      </c>
    </row>
    <row r="38" spans="1:4">
      <c r="A38" s="3" t="s">
        <v>42</v>
      </c>
      <c r="B38" s="4">
        <v>40</v>
      </c>
      <c r="C38" s="7">
        <v>29.4</v>
      </c>
      <c r="D38" s="3" t="s">
        <v>24</v>
      </c>
    </row>
    <row r="39" spans="1:4">
      <c r="A39" s="3" t="s">
        <v>43</v>
      </c>
      <c r="B39" s="4">
        <v>35</v>
      </c>
      <c r="C39" s="7">
        <v>30</v>
      </c>
      <c r="D39" s="3" t="s">
        <v>24</v>
      </c>
    </row>
    <row r="40" spans="1:4">
      <c r="A40" s="3" t="s">
        <v>45</v>
      </c>
      <c r="B40" s="4">
        <v>75</v>
      </c>
      <c r="C40" s="7">
        <v>62</v>
      </c>
      <c r="D40" s="3" t="s">
        <v>44</v>
      </c>
    </row>
    <row r="41" spans="1:4">
      <c r="A41" s="3" t="s">
        <v>46</v>
      </c>
      <c r="B41" s="4">
        <v>12</v>
      </c>
      <c r="C41" s="7">
        <v>7.92</v>
      </c>
      <c r="D41" s="3" t="s">
        <v>44</v>
      </c>
    </row>
    <row r="42" spans="1:4">
      <c r="A42" s="3" t="s">
        <v>47</v>
      </c>
      <c r="B42" s="4">
        <v>29</v>
      </c>
      <c r="C42" s="7">
        <v>22.5</v>
      </c>
      <c r="D42" s="3" t="s">
        <v>44</v>
      </c>
    </row>
    <row r="43" spans="1:4">
      <c r="A43" s="3" t="s">
        <v>48</v>
      </c>
      <c r="B43" s="4">
        <v>22</v>
      </c>
      <c r="C43" s="7">
        <v>17.149999999999999</v>
      </c>
      <c r="D43" s="3" t="s">
        <v>44</v>
      </c>
    </row>
    <row r="44" spans="1:4">
      <c r="A44" s="3" t="s">
        <v>49</v>
      </c>
      <c r="B44" s="4">
        <v>12</v>
      </c>
      <c r="C44" s="7">
        <v>7.92</v>
      </c>
      <c r="D44" s="3" t="s">
        <v>44</v>
      </c>
    </row>
    <row r="45" spans="1:4">
      <c r="A45" s="3" t="s">
        <v>50</v>
      </c>
      <c r="B45" s="4">
        <v>29</v>
      </c>
      <c r="C45" s="7">
        <v>22.5</v>
      </c>
      <c r="D45" s="3" t="s">
        <v>44</v>
      </c>
    </row>
    <row r="46" spans="1:4">
      <c r="A46" s="3" t="s">
        <v>51</v>
      </c>
      <c r="B46" s="4">
        <v>75</v>
      </c>
      <c r="C46" s="7">
        <v>62</v>
      </c>
      <c r="D46" s="3" t="s">
        <v>44</v>
      </c>
    </row>
    <row r="47" spans="1:4">
      <c r="A47" s="3" t="s">
        <v>52</v>
      </c>
      <c r="B47" s="4">
        <v>22</v>
      </c>
      <c r="C47" s="7">
        <v>17.149999999999999</v>
      </c>
      <c r="D47" s="3" t="s">
        <v>44</v>
      </c>
    </row>
    <row r="48" spans="1:4">
      <c r="A48" s="3" t="s">
        <v>53</v>
      </c>
      <c r="B48" s="4">
        <v>12</v>
      </c>
      <c r="C48" s="7">
        <v>7.92</v>
      </c>
      <c r="D48" s="3" t="s">
        <v>44</v>
      </c>
    </row>
    <row r="49" spans="1:4">
      <c r="A49" s="3" t="s">
        <v>54</v>
      </c>
      <c r="B49" s="4">
        <v>29</v>
      </c>
      <c r="C49" s="7">
        <v>22.5</v>
      </c>
      <c r="D49" s="3" t="s">
        <v>44</v>
      </c>
    </row>
    <row r="50" spans="1:4">
      <c r="A50" s="3" t="s">
        <v>55</v>
      </c>
      <c r="B50" s="4">
        <v>75</v>
      </c>
      <c r="C50" s="7">
        <v>62</v>
      </c>
      <c r="D50" s="3" t="s">
        <v>44</v>
      </c>
    </row>
    <row r="51" spans="1:4">
      <c r="A51" s="3" t="s">
        <v>56</v>
      </c>
      <c r="B51" s="4">
        <v>22</v>
      </c>
      <c r="C51" s="7">
        <v>17.149999999999999</v>
      </c>
      <c r="D51" s="3" t="s">
        <v>44</v>
      </c>
    </row>
    <row r="52" spans="1:4">
      <c r="A52" s="3" t="s">
        <v>57</v>
      </c>
      <c r="B52" s="4">
        <v>22</v>
      </c>
      <c r="C52" s="7">
        <v>17</v>
      </c>
      <c r="D52" s="3" t="s">
        <v>44</v>
      </c>
    </row>
    <row r="53" spans="1:4">
      <c r="A53" s="3" t="s">
        <v>58</v>
      </c>
      <c r="B53" s="4">
        <v>17</v>
      </c>
      <c r="C53" s="7">
        <v>12.25</v>
      </c>
      <c r="D53" s="3" t="s">
        <v>44</v>
      </c>
    </row>
    <row r="54" spans="1:4">
      <c r="A54" s="3" t="s">
        <v>59</v>
      </c>
      <c r="B54" s="4">
        <v>35</v>
      </c>
      <c r="C54" s="7">
        <v>29.4</v>
      </c>
      <c r="D54" s="3" t="s">
        <v>44</v>
      </c>
    </row>
    <row r="55" spans="1:4">
      <c r="A55" s="3" t="s">
        <v>60</v>
      </c>
      <c r="B55" s="4">
        <v>27</v>
      </c>
      <c r="C55" s="7">
        <v>21</v>
      </c>
      <c r="D55" s="3" t="s">
        <v>44</v>
      </c>
    </row>
    <row r="56" spans="1:4">
      <c r="A56" s="3" t="s">
        <v>62</v>
      </c>
      <c r="B56" s="4">
        <v>26</v>
      </c>
      <c r="C56" s="7">
        <f>125/6</f>
        <v>20.833333333333332</v>
      </c>
      <c r="D56" s="3" t="s">
        <v>61</v>
      </c>
    </row>
    <row r="57" spans="1:4">
      <c r="A57" s="3" t="s">
        <v>63</v>
      </c>
      <c r="B57" s="4">
        <v>19</v>
      </c>
      <c r="C57" s="7">
        <f>135.45/10</f>
        <v>13.544999999999998</v>
      </c>
      <c r="D57" s="3" t="s">
        <v>61</v>
      </c>
    </row>
    <row r="58" spans="1:4">
      <c r="A58" s="3" t="s">
        <v>64</v>
      </c>
      <c r="B58" s="4">
        <v>32</v>
      </c>
      <c r="C58" s="7">
        <v>24.58</v>
      </c>
      <c r="D58" s="3" t="s">
        <v>61</v>
      </c>
    </row>
    <row r="59" spans="1:4">
      <c r="A59" s="3" t="s">
        <v>66</v>
      </c>
      <c r="B59" s="4">
        <v>13</v>
      </c>
      <c r="C59" s="7">
        <f>47/6</f>
        <v>7.833333333333333</v>
      </c>
      <c r="D59" s="3" t="s">
        <v>65</v>
      </c>
    </row>
    <row r="60" spans="1:4">
      <c r="A60" s="3" t="s">
        <v>67</v>
      </c>
      <c r="B60" s="4">
        <v>12</v>
      </c>
      <c r="C60" s="7">
        <f>50/5</f>
        <v>10</v>
      </c>
      <c r="D60" s="3" t="s">
        <v>65</v>
      </c>
    </row>
    <row r="61" spans="1:4">
      <c r="A61" s="3" t="s">
        <v>68</v>
      </c>
      <c r="B61" s="4">
        <v>19</v>
      </c>
      <c r="C61" s="7">
        <f>42.5/4</f>
        <v>10.625</v>
      </c>
      <c r="D61" s="3" t="s">
        <v>65</v>
      </c>
    </row>
    <row r="62" spans="1:4">
      <c r="A62" s="3" t="s">
        <v>69</v>
      </c>
      <c r="B62" s="4">
        <v>26</v>
      </c>
      <c r="C62" s="7">
        <f>77/4</f>
        <v>19.25</v>
      </c>
      <c r="D62" s="3" t="s">
        <v>65</v>
      </c>
    </row>
    <row r="63" spans="1:4">
      <c r="A63" s="3" t="s">
        <v>71</v>
      </c>
      <c r="B63" s="4">
        <v>30</v>
      </c>
      <c r="C63" s="7">
        <v>21.7</v>
      </c>
      <c r="D63" s="3" t="s">
        <v>70</v>
      </c>
    </row>
    <row r="64" spans="1:4">
      <c r="A64" s="3" t="s">
        <v>72</v>
      </c>
      <c r="B64" s="4">
        <v>30</v>
      </c>
      <c r="C64" s="7">
        <v>22.6</v>
      </c>
      <c r="D64" s="3" t="s">
        <v>70</v>
      </c>
    </row>
    <row r="65" spans="1:4">
      <c r="A65" s="3" t="s">
        <v>73</v>
      </c>
      <c r="B65" s="4">
        <v>30</v>
      </c>
      <c r="C65" s="7">
        <v>21.7</v>
      </c>
      <c r="D65" s="3" t="s">
        <v>70</v>
      </c>
    </row>
    <row r="66" spans="1:4">
      <c r="A66" s="3" t="s">
        <v>74</v>
      </c>
      <c r="B66" s="4">
        <v>30</v>
      </c>
      <c r="C66" s="7">
        <v>21.7</v>
      </c>
      <c r="D66" s="3" t="s">
        <v>70</v>
      </c>
    </row>
    <row r="67" spans="1:4">
      <c r="A67" s="3" t="s">
        <v>75</v>
      </c>
      <c r="B67" s="4">
        <v>40</v>
      </c>
      <c r="C67" s="7">
        <v>33</v>
      </c>
      <c r="D67" s="3" t="s">
        <v>70</v>
      </c>
    </row>
    <row r="68" spans="1:4">
      <c r="A68" s="3" t="s">
        <v>76</v>
      </c>
      <c r="B68" s="4">
        <v>55</v>
      </c>
      <c r="C68" s="7">
        <v>41.5</v>
      </c>
      <c r="D68" s="3" t="s">
        <v>70</v>
      </c>
    </row>
    <row r="69" spans="1:4">
      <c r="A69" s="3" t="s">
        <v>77</v>
      </c>
      <c r="B69" s="4">
        <v>40</v>
      </c>
      <c r="C69" s="7">
        <v>33.6</v>
      </c>
      <c r="D69" s="3" t="s">
        <v>70</v>
      </c>
    </row>
    <row r="70" spans="1:4">
      <c r="A70" s="3" t="s">
        <v>78</v>
      </c>
      <c r="B70" s="4">
        <v>55</v>
      </c>
      <c r="C70" s="7">
        <v>49</v>
      </c>
      <c r="D70" s="3" t="s">
        <v>70</v>
      </c>
    </row>
    <row r="71" spans="1:4">
      <c r="A71" s="3" t="s">
        <v>79</v>
      </c>
      <c r="B71" s="4">
        <v>25</v>
      </c>
      <c r="C71" s="7">
        <v>17.079999999999998</v>
      </c>
      <c r="D71" s="3" t="s">
        <v>70</v>
      </c>
    </row>
    <row r="72" spans="1:4">
      <c r="A72" s="3" t="s">
        <v>81</v>
      </c>
      <c r="B72" s="4">
        <v>10</v>
      </c>
      <c r="C72" s="7">
        <f>155/20</f>
        <v>7.75</v>
      </c>
      <c r="D72" s="3" t="s">
        <v>80</v>
      </c>
    </row>
    <row r="73" spans="1:4">
      <c r="A73" s="3" t="s">
        <v>82</v>
      </c>
      <c r="B73" s="4">
        <v>180</v>
      </c>
      <c r="C73" s="7">
        <v>155</v>
      </c>
      <c r="D73" s="3" t="s">
        <v>80</v>
      </c>
    </row>
    <row r="74" spans="1:4">
      <c r="A74" s="3" t="s">
        <v>83</v>
      </c>
      <c r="B74" s="4">
        <v>10</v>
      </c>
      <c r="C74" s="7">
        <f>155/20</f>
        <v>7.75</v>
      </c>
      <c r="D74" s="3" t="s">
        <v>80</v>
      </c>
    </row>
    <row r="75" spans="1:4">
      <c r="A75" s="3" t="s">
        <v>84</v>
      </c>
      <c r="B75" s="4">
        <v>180</v>
      </c>
      <c r="C75" s="7">
        <v>155</v>
      </c>
      <c r="D75" s="3" t="s">
        <v>80</v>
      </c>
    </row>
    <row r="76" spans="1:4">
      <c r="A76" s="3" t="s">
        <v>85</v>
      </c>
      <c r="B76" s="4">
        <v>10</v>
      </c>
      <c r="C76" s="7">
        <f>155/20</f>
        <v>7.75</v>
      </c>
      <c r="D76" s="3" t="s">
        <v>80</v>
      </c>
    </row>
    <row r="77" spans="1:4">
      <c r="A77" s="3" t="s">
        <v>86</v>
      </c>
      <c r="B77" s="4">
        <v>180</v>
      </c>
      <c r="C77" s="7">
        <v>155</v>
      </c>
      <c r="D77" s="3" t="s">
        <v>80</v>
      </c>
    </row>
    <row r="78" spans="1:4">
      <c r="A78" s="3" t="s">
        <v>87</v>
      </c>
      <c r="B78" s="4">
        <v>8</v>
      </c>
      <c r="C78" s="7">
        <f>145/20</f>
        <v>7.25</v>
      </c>
      <c r="D78" s="3" t="s">
        <v>80</v>
      </c>
    </row>
    <row r="79" spans="1:4">
      <c r="A79" s="3" t="s">
        <v>88</v>
      </c>
      <c r="B79" s="4">
        <v>160</v>
      </c>
      <c r="C79" s="7">
        <v>145</v>
      </c>
      <c r="D79" s="3" t="s">
        <v>80</v>
      </c>
    </row>
    <row r="80" spans="1:4">
      <c r="A80" s="3" t="s">
        <v>89</v>
      </c>
      <c r="B80" s="4">
        <v>8</v>
      </c>
      <c r="C80" s="7">
        <f>145/20</f>
        <v>7.25</v>
      </c>
      <c r="D80" s="3" t="s">
        <v>80</v>
      </c>
    </row>
    <row r="81" spans="1:4">
      <c r="A81" s="3" t="s">
        <v>90</v>
      </c>
      <c r="B81" s="4">
        <v>160</v>
      </c>
      <c r="C81" s="7">
        <v>145</v>
      </c>
      <c r="D81" s="3" t="s">
        <v>80</v>
      </c>
    </row>
    <row r="82" spans="1:4">
      <c r="A82" s="3" t="s">
        <v>91</v>
      </c>
      <c r="B82" s="4">
        <v>8</v>
      </c>
      <c r="C82" s="7">
        <f>126/20</f>
        <v>6.3</v>
      </c>
      <c r="D82" s="3" t="s">
        <v>80</v>
      </c>
    </row>
    <row r="83" spans="1:4">
      <c r="A83" s="3" t="s">
        <v>92</v>
      </c>
      <c r="B83" s="4">
        <v>160</v>
      </c>
      <c r="C83" s="7">
        <v>126</v>
      </c>
      <c r="D83" s="3" t="s">
        <v>80</v>
      </c>
    </row>
    <row r="84" spans="1:4">
      <c r="A84" s="3" t="s">
        <v>93</v>
      </c>
      <c r="B84" s="4">
        <v>8</v>
      </c>
      <c r="C84" s="7">
        <v>6.3</v>
      </c>
      <c r="D84" s="3" t="s">
        <v>80</v>
      </c>
    </row>
    <row r="85" spans="1:4">
      <c r="A85" s="3" t="s">
        <v>94</v>
      </c>
      <c r="B85" s="4">
        <v>160</v>
      </c>
      <c r="C85" s="7">
        <v>126</v>
      </c>
      <c r="D85" s="3" t="s">
        <v>80</v>
      </c>
    </row>
    <row r="86" spans="1:4">
      <c r="A86" s="3" t="s">
        <v>95</v>
      </c>
      <c r="B86" s="4">
        <v>8</v>
      </c>
      <c r="C86" s="7">
        <f>126/20</f>
        <v>6.3</v>
      </c>
      <c r="D86" s="3" t="s">
        <v>80</v>
      </c>
    </row>
    <row r="87" spans="1:4">
      <c r="A87" s="3" t="s">
        <v>96</v>
      </c>
      <c r="B87" s="4">
        <v>160</v>
      </c>
      <c r="C87" s="7">
        <v>126</v>
      </c>
      <c r="D87" s="3" t="s">
        <v>80</v>
      </c>
    </row>
    <row r="88" spans="1:4">
      <c r="A88" s="3" t="s">
        <v>97</v>
      </c>
      <c r="B88" s="4">
        <v>8</v>
      </c>
      <c r="C88" s="7">
        <f>145/20</f>
        <v>7.25</v>
      </c>
      <c r="D88" s="3" t="s">
        <v>80</v>
      </c>
    </row>
    <row r="89" spans="1:4">
      <c r="A89" s="3" t="s">
        <v>98</v>
      </c>
      <c r="B89" s="4">
        <v>160</v>
      </c>
      <c r="C89" s="7">
        <v>145</v>
      </c>
      <c r="D89" s="3" t="s">
        <v>80</v>
      </c>
    </row>
    <row r="90" spans="1:4">
      <c r="A90" s="3" t="s">
        <v>99</v>
      </c>
      <c r="B90" s="4">
        <v>8</v>
      </c>
      <c r="C90" s="7">
        <f>126/20</f>
        <v>6.3</v>
      </c>
      <c r="D90" s="3" t="s">
        <v>80</v>
      </c>
    </row>
    <row r="91" spans="1:4">
      <c r="A91" s="3" t="s">
        <v>100</v>
      </c>
      <c r="B91" s="4">
        <v>160</v>
      </c>
      <c r="C91" s="7">
        <v>126</v>
      </c>
      <c r="D91" s="3" t="s">
        <v>80</v>
      </c>
    </row>
    <row r="92" spans="1:4">
      <c r="A92" s="3" t="s">
        <v>101</v>
      </c>
      <c r="B92" s="4">
        <v>8</v>
      </c>
      <c r="C92" s="7">
        <f>126/20</f>
        <v>6.3</v>
      </c>
      <c r="D92" s="3" t="s">
        <v>80</v>
      </c>
    </row>
    <row r="93" spans="1:4">
      <c r="A93" s="3" t="s">
        <v>102</v>
      </c>
      <c r="B93" s="4">
        <v>160</v>
      </c>
      <c r="C93" s="7">
        <v>126</v>
      </c>
      <c r="D93" s="3" t="s">
        <v>80</v>
      </c>
    </row>
    <row r="94" spans="1:4">
      <c r="A94" s="3" t="s">
        <v>104</v>
      </c>
      <c r="B94" s="4">
        <v>20</v>
      </c>
      <c r="C94" s="7">
        <v>15.8</v>
      </c>
      <c r="D94" s="3" t="s">
        <v>103</v>
      </c>
    </row>
    <row r="95" spans="1:4">
      <c r="A95" s="3" t="s">
        <v>105</v>
      </c>
      <c r="B95" s="4">
        <v>45</v>
      </c>
      <c r="C95" s="7">
        <v>34.75</v>
      </c>
      <c r="D95" s="3" t="s">
        <v>103</v>
      </c>
    </row>
    <row r="96" spans="1:4">
      <c r="A96" s="3" t="s">
        <v>106</v>
      </c>
      <c r="B96" s="4">
        <v>90</v>
      </c>
      <c r="C96" s="7">
        <v>64.650000000000006</v>
      </c>
      <c r="D96" s="3" t="s">
        <v>103</v>
      </c>
    </row>
    <row r="97" spans="1:4">
      <c r="A97" s="3" t="s">
        <v>107</v>
      </c>
      <c r="B97" s="4">
        <v>20</v>
      </c>
      <c r="C97" s="7">
        <v>15.8</v>
      </c>
      <c r="D97" s="3" t="s">
        <v>103</v>
      </c>
    </row>
    <row r="98" spans="1:4">
      <c r="A98" s="3" t="s">
        <v>108</v>
      </c>
      <c r="B98" s="4">
        <v>45</v>
      </c>
      <c r="C98" s="7">
        <v>34.75</v>
      </c>
      <c r="D98" s="3" t="s">
        <v>103</v>
      </c>
    </row>
    <row r="99" spans="1:4">
      <c r="A99" s="3" t="s">
        <v>109</v>
      </c>
      <c r="B99" s="4">
        <v>90</v>
      </c>
      <c r="C99" s="7">
        <v>64.650000000000006</v>
      </c>
      <c r="D99" s="3" t="s">
        <v>103</v>
      </c>
    </row>
    <row r="100" spans="1:4">
      <c r="A100" s="3" t="s">
        <v>110</v>
      </c>
      <c r="B100" s="4">
        <v>20</v>
      </c>
      <c r="C100" s="7">
        <v>15.8</v>
      </c>
      <c r="D100" s="3" t="s">
        <v>103</v>
      </c>
    </row>
    <row r="101" spans="1:4">
      <c r="A101" s="3" t="s">
        <v>111</v>
      </c>
      <c r="B101" s="4">
        <v>45</v>
      </c>
      <c r="C101" s="7">
        <v>34.75</v>
      </c>
      <c r="D101" s="3" t="s">
        <v>103</v>
      </c>
    </row>
    <row r="102" spans="1:4">
      <c r="A102" s="3" t="s">
        <v>112</v>
      </c>
      <c r="B102" s="4">
        <v>20</v>
      </c>
      <c r="C102" s="7">
        <v>15.8</v>
      </c>
      <c r="D102" s="3" t="s">
        <v>103</v>
      </c>
    </row>
    <row r="103" spans="1:4">
      <c r="A103" s="3" t="s">
        <v>113</v>
      </c>
      <c r="B103" s="4">
        <v>45</v>
      </c>
      <c r="C103" s="7">
        <v>34.75</v>
      </c>
      <c r="D103" s="3" t="s">
        <v>103</v>
      </c>
    </row>
    <row r="104" spans="1:4">
      <c r="A104" s="3" t="s">
        <v>114</v>
      </c>
      <c r="B104" s="4">
        <v>20</v>
      </c>
      <c r="C104" s="7">
        <v>15.8</v>
      </c>
      <c r="D104" s="3" t="s">
        <v>103</v>
      </c>
    </row>
    <row r="105" spans="1:4">
      <c r="A105" s="3" t="s">
        <v>115</v>
      </c>
      <c r="B105" s="4">
        <v>45</v>
      </c>
      <c r="C105" s="7">
        <v>34.75</v>
      </c>
      <c r="D105" s="3" t="s">
        <v>103</v>
      </c>
    </row>
    <row r="106" spans="1:4">
      <c r="A106" s="3" t="s">
        <v>116</v>
      </c>
      <c r="B106" s="4">
        <v>20</v>
      </c>
      <c r="C106" s="7">
        <v>15.8</v>
      </c>
      <c r="D106" s="3" t="s">
        <v>103</v>
      </c>
    </row>
    <row r="107" spans="1:4">
      <c r="A107" s="3" t="s">
        <v>117</v>
      </c>
      <c r="B107" s="4">
        <v>45</v>
      </c>
      <c r="C107" s="7">
        <v>34.75</v>
      </c>
      <c r="D107" s="3" t="s">
        <v>103</v>
      </c>
    </row>
    <row r="108" spans="1:4">
      <c r="A108" s="3" t="s">
        <v>118</v>
      </c>
      <c r="B108" s="4">
        <v>45</v>
      </c>
      <c r="C108" s="7">
        <v>36</v>
      </c>
      <c r="D108" s="3" t="s">
        <v>103</v>
      </c>
    </row>
    <row r="109" spans="1:4">
      <c r="A109" s="3" t="s">
        <v>119</v>
      </c>
      <c r="B109" s="4">
        <v>20</v>
      </c>
      <c r="C109" s="7">
        <v>15.75</v>
      </c>
      <c r="D109" s="3" t="s">
        <v>103</v>
      </c>
    </row>
    <row r="110" spans="1:4">
      <c r="A110" s="3" t="s">
        <v>120</v>
      </c>
      <c r="B110" s="4">
        <v>45</v>
      </c>
      <c r="C110" s="7">
        <v>36</v>
      </c>
      <c r="D110" s="3" t="s">
        <v>103</v>
      </c>
    </row>
    <row r="111" spans="1:4">
      <c r="A111" s="3" t="s">
        <v>121</v>
      </c>
      <c r="B111" s="4">
        <v>20</v>
      </c>
      <c r="C111" s="7">
        <v>15.75</v>
      </c>
      <c r="D111" s="3" t="s">
        <v>103</v>
      </c>
    </row>
    <row r="112" spans="1:4">
      <c r="A112" s="3" t="s">
        <v>122</v>
      </c>
      <c r="B112" s="4">
        <v>100</v>
      </c>
      <c r="C112" s="7">
        <v>77</v>
      </c>
      <c r="D112" s="3" t="s">
        <v>103</v>
      </c>
    </row>
    <row r="113" spans="1:4">
      <c r="A113" s="3" t="s">
        <v>123</v>
      </c>
      <c r="B113" s="4">
        <v>100</v>
      </c>
      <c r="C113" s="7">
        <v>77</v>
      </c>
      <c r="D113" s="3" t="s">
        <v>103</v>
      </c>
    </row>
    <row r="114" spans="1:4">
      <c r="A114" s="3" t="s">
        <v>124</v>
      </c>
      <c r="B114" s="4">
        <v>40</v>
      </c>
      <c r="C114" s="7">
        <v>32.15</v>
      </c>
      <c r="D114" s="3" t="s">
        <v>103</v>
      </c>
    </row>
    <row r="115" spans="1:4">
      <c r="A115" s="3" t="s">
        <v>125</v>
      </c>
      <c r="B115" s="4">
        <v>10</v>
      </c>
      <c r="C115" s="7">
        <v>7</v>
      </c>
      <c r="D115" s="3" t="s">
        <v>103</v>
      </c>
    </row>
    <row r="116" spans="1:4">
      <c r="A116" s="3" t="s">
        <v>126</v>
      </c>
      <c r="B116" s="4">
        <v>10</v>
      </c>
      <c r="C116" s="7">
        <v>7</v>
      </c>
      <c r="D116" s="3" t="s">
        <v>103</v>
      </c>
    </row>
    <row r="117" spans="1:4">
      <c r="A117" s="3" t="s">
        <v>127</v>
      </c>
      <c r="B117" s="4">
        <v>200</v>
      </c>
      <c r="C117" s="7">
        <v>149.9</v>
      </c>
      <c r="D117" s="3" t="s">
        <v>103</v>
      </c>
    </row>
    <row r="118" spans="1:4">
      <c r="A118" s="3" t="s">
        <v>128</v>
      </c>
      <c r="B118" s="4">
        <v>200</v>
      </c>
      <c r="C118" s="7">
        <v>149.9</v>
      </c>
      <c r="D118" s="3" t="s">
        <v>103</v>
      </c>
    </row>
    <row r="119" spans="1:4">
      <c r="A119" s="3" t="s">
        <v>129</v>
      </c>
      <c r="B119" s="4">
        <v>70</v>
      </c>
      <c r="C119" s="7">
        <f>91.5/2</f>
        <v>45.75</v>
      </c>
      <c r="D119" s="3" t="s">
        <v>103</v>
      </c>
    </row>
    <row r="120" spans="1:4">
      <c r="A120" s="3" t="s">
        <v>130</v>
      </c>
      <c r="B120" s="4">
        <v>70</v>
      </c>
      <c r="C120" s="7">
        <f>91.5/2</f>
        <v>45.75</v>
      </c>
      <c r="D120" s="3" t="s">
        <v>103</v>
      </c>
    </row>
    <row r="121" spans="1:4">
      <c r="A121" s="3" t="s">
        <v>131</v>
      </c>
      <c r="B121" s="4">
        <v>20</v>
      </c>
      <c r="C121" s="7">
        <v>16.350000000000001</v>
      </c>
      <c r="D121" s="3" t="s">
        <v>103</v>
      </c>
    </row>
    <row r="122" spans="1:4">
      <c r="A122" s="3" t="s">
        <v>132</v>
      </c>
      <c r="B122" s="4">
        <v>45</v>
      </c>
      <c r="C122" s="7">
        <v>36.25</v>
      </c>
      <c r="D122" s="3" t="s">
        <v>103</v>
      </c>
    </row>
    <row r="123" spans="1:4">
      <c r="A123" s="3" t="s">
        <v>133</v>
      </c>
      <c r="B123" s="4">
        <v>20</v>
      </c>
      <c r="C123" s="7">
        <v>16.350000000000001</v>
      </c>
      <c r="D123" s="3" t="s">
        <v>103</v>
      </c>
    </row>
    <row r="124" spans="1:4">
      <c r="A124" s="3" t="s">
        <v>134</v>
      </c>
      <c r="B124" s="4">
        <v>45</v>
      </c>
      <c r="C124" s="7">
        <v>36.15</v>
      </c>
      <c r="D124" s="3" t="s">
        <v>103</v>
      </c>
    </row>
    <row r="125" spans="1:4">
      <c r="A125" s="3" t="s">
        <v>135</v>
      </c>
      <c r="B125" s="4">
        <v>20</v>
      </c>
      <c r="C125" s="7">
        <v>16</v>
      </c>
      <c r="D125" s="3" t="s">
        <v>103</v>
      </c>
    </row>
    <row r="126" spans="1:4">
      <c r="A126" s="3" t="s">
        <v>136</v>
      </c>
      <c r="B126" s="4">
        <v>45</v>
      </c>
      <c r="C126" s="7">
        <v>34</v>
      </c>
      <c r="D126" s="3" t="s">
        <v>103</v>
      </c>
    </row>
    <row r="127" spans="1:4">
      <c r="A127" s="3" t="s">
        <v>137</v>
      </c>
      <c r="B127" s="4">
        <v>45</v>
      </c>
      <c r="C127" s="7">
        <v>34</v>
      </c>
      <c r="D127" s="3" t="s">
        <v>103</v>
      </c>
    </row>
    <row r="128" spans="1:4">
      <c r="A128" s="3" t="s">
        <v>138</v>
      </c>
      <c r="B128" s="4">
        <v>45</v>
      </c>
      <c r="C128" s="7">
        <v>34</v>
      </c>
      <c r="D128" s="3" t="s">
        <v>103</v>
      </c>
    </row>
    <row r="129" spans="1:4">
      <c r="A129" s="3" t="s">
        <v>139</v>
      </c>
      <c r="B129" s="4">
        <v>45</v>
      </c>
      <c r="C129" s="7">
        <v>34</v>
      </c>
      <c r="D129" s="3" t="s">
        <v>103</v>
      </c>
    </row>
    <row r="130" spans="1:4">
      <c r="A130" s="3" t="s">
        <v>140</v>
      </c>
      <c r="B130" s="4">
        <v>20</v>
      </c>
      <c r="C130" s="7">
        <v>15.95</v>
      </c>
      <c r="D130" s="3" t="s">
        <v>103</v>
      </c>
    </row>
    <row r="131" spans="1:4">
      <c r="A131" s="3" t="s">
        <v>141</v>
      </c>
      <c r="B131" s="4">
        <v>3</v>
      </c>
      <c r="C131" s="7">
        <v>2</v>
      </c>
      <c r="D131" s="3" t="s">
        <v>103</v>
      </c>
    </row>
    <row r="132" spans="1:4">
      <c r="A132" s="3" t="s">
        <v>142</v>
      </c>
      <c r="B132" s="4">
        <v>10</v>
      </c>
      <c r="C132" s="7">
        <v>6.99</v>
      </c>
      <c r="D132" s="3" t="s">
        <v>103</v>
      </c>
    </row>
    <row r="133" spans="1:4">
      <c r="A133" s="3" t="s">
        <v>143</v>
      </c>
      <c r="B133" s="4">
        <v>10</v>
      </c>
      <c r="C133" s="7">
        <v>6.99</v>
      </c>
      <c r="D133" s="3" t="s">
        <v>103</v>
      </c>
    </row>
    <row r="134" spans="1:4">
      <c r="A134" s="3" t="s">
        <v>144</v>
      </c>
      <c r="B134" s="4">
        <v>30</v>
      </c>
      <c r="C134" s="7">
        <v>21.75</v>
      </c>
      <c r="D134" s="3" t="s">
        <v>103</v>
      </c>
    </row>
    <row r="135" spans="1:4">
      <c r="A135" s="3" t="s">
        <v>145</v>
      </c>
      <c r="B135" s="4">
        <v>30</v>
      </c>
      <c r="C135" s="7">
        <v>21.75</v>
      </c>
      <c r="D135" s="3" t="s">
        <v>103</v>
      </c>
    </row>
    <row r="136" spans="1:4">
      <c r="A136" s="3" t="s">
        <v>146</v>
      </c>
      <c r="B136" s="4">
        <v>30</v>
      </c>
      <c r="C136" s="7">
        <v>21.75</v>
      </c>
      <c r="D136" s="3" t="s">
        <v>103</v>
      </c>
    </row>
    <row r="137" spans="1:4">
      <c r="A137" s="3" t="s">
        <v>147</v>
      </c>
      <c r="B137" s="4">
        <v>10</v>
      </c>
      <c r="C137" s="7">
        <v>7.48</v>
      </c>
      <c r="D137" s="3" t="s">
        <v>103</v>
      </c>
    </row>
    <row r="138" spans="1:4">
      <c r="A138" s="3" t="s">
        <v>148</v>
      </c>
      <c r="B138" s="4">
        <v>10</v>
      </c>
      <c r="C138" s="7">
        <v>7.48</v>
      </c>
      <c r="D138" s="3" t="s">
        <v>103</v>
      </c>
    </row>
    <row r="139" spans="1:4">
      <c r="A139" s="3" t="s">
        <v>149</v>
      </c>
      <c r="B139" s="4">
        <v>8</v>
      </c>
      <c r="C139" s="7">
        <v>5.95</v>
      </c>
      <c r="D139" s="3" t="s">
        <v>103</v>
      </c>
    </row>
    <row r="140" spans="1:4">
      <c r="A140" s="3" t="s">
        <v>150</v>
      </c>
      <c r="B140" s="4">
        <v>8</v>
      </c>
      <c r="C140" s="7">
        <v>5.85</v>
      </c>
      <c r="D140" s="3" t="s">
        <v>103</v>
      </c>
    </row>
    <row r="141" spans="1:4">
      <c r="A141" s="3" t="s">
        <v>151</v>
      </c>
      <c r="B141" s="4">
        <v>12</v>
      </c>
      <c r="C141" s="7">
        <f>9.7</f>
        <v>9.6999999999999993</v>
      </c>
      <c r="D141" s="3" t="s">
        <v>103</v>
      </c>
    </row>
    <row r="142" spans="1:4">
      <c r="A142" s="3" t="s">
        <v>152</v>
      </c>
      <c r="B142" s="4">
        <v>10</v>
      </c>
      <c r="C142" s="7">
        <f>76.95/10</f>
        <v>7.6950000000000003</v>
      </c>
      <c r="D142" s="3" t="s">
        <v>103</v>
      </c>
    </row>
    <row r="143" spans="1:4">
      <c r="A143" s="3" t="s">
        <v>153</v>
      </c>
      <c r="B143" s="4">
        <v>8</v>
      </c>
      <c r="C143" s="7">
        <v>5.9950000000000001</v>
      </c>
      <c r="D143" s="3" t="s">
        <v>103</v>
      </c>
    </row>
    <row r="144" spans="1:4">
      <c r="A144" s="3" t="s">
        <v>154</v>
      </c>
      <c r="B144" s="4">
        <v>15</v>
      </c>
      <c r="C144" s="7">
        <v>12.5</v>
      </c>
      <c r="D144" s="3" t="s">
        <v>103</v>
      </c>
    </row>
    <row r="145" spans="1:4">
      <c r="A145" s="3" t="s">
        <v>155</v>
      </c>
      <c r="B145" s="4">
        <v>15</v>
      </c>
      <c r="C145" s="7">
        <v>12.5</v>
      </c>
      <c r="D145" s="3" t="s">
        <v>103</v>
      </c>
    </row>
    <row r="146" spans="1:4">
      <c r="A146" s="3" t="s">
        <v>156</v>
      </c>
      <c r="B146" s="4">
        <v>10</v>
      </c>
      <c r="C146" s="7">
        <f>76.2/10</f>
        <v>7.62</v>
      </c>
      <c r="D146" s="3" t="s">
        <v>103</v>
      </c>
    </row>
    <row r="147" spans="1:4">
      <c r="A147" s="3" t="s">
        <v>157</v>
      </c>
      <c r="B147" s="4">
        <v>10</v>
      </c>
      <c r="C147" s="7">
        <f>76.2/10</f>
        <v>7.62</v>
      </c>
      <c r="D147" s="3" t="s">
        <v>103</v>
      </c>
    </row>
    <row r="148" spans="1:4">
      <c r="A148" s="3" t="s">
        <v>158</v>
      </c>
      <c r="B148" s="4">
        <v>12</v>
      </c>
      <c r="C148" s="7">
        <f>98/10</f>
        <v>9.8000000000000007</v>
      </c>
      <c r="D148" s="3" t="s">
        <v>103</v>
      </c>
    </row>
    <row r="149" spans="1:4">
      <c r="A149" s="3" t="s">
        <v>159</v>
      </c>
      <c r="B149" s="4">
        <v>15</v>
      </c>
      <c r="C149" s="7">
        <v>6.9</v>
      </c>
      <c r="D149" s="3" t="s">
        <v>103</v>
      </c>
    </row>
    <row r="150" spans="1:4">
      <c r="A150" s="3" t="s">
        <v>160</v>
      </c>
      <c r="B150" s="4">
        <v>15</v>
      </c>
      <c r="C150" s="7">
        <v>9.4499999999999993</v>
      </c>
      <c r="D150" s="3" t="s">
        <v>103</v>
      </c>
    </row>
    <row r="151" spans="1:4">
      <c r="A151" s="3" t="s">
        <v>161</v>
      </c>
      <c r="B151" s="4">
        <v>15</v>
      </c>
      <c r="C151" s="7">
        <v>6.9</v>
      </c>
      <c r="D151" s="3" t="s">
        <v>103</v>
      </c>
    </row>
    <row r="152" spans="1:4">
      <c r="A152" s="3" t="s">
        <v>162</v>
      </c>
      <c r="B152" s="4">
        <v>17</v>
      </c>
      <c r="C152" s="7">
        <v>15</v>
      </c>
      <c r="D152" s="3" t="s">
        <v>103</v>
      </c>
    </row>
    <row r="153" spans="1:4">
      <c r="A153" s="3" t="s">
        <v>163</v>
      </c>
      <c r="B153" s="4">
        <v>10</v>
      </c>
      <c r="C153" s="7">
        <v>7.03</v>
      </c>
      <c r="D153" s="3" t="s">
        <v>103</v>
      </c>
    </row>
    <row r="154" spans="1:4">
      <c r="A154" s="3" t="s">
        <v>164</v>
      </c>
      <c r="B154" s="4">
        <v>10</v>
      </c>
      <c r="C154" s="7">
        <v>7.03</v>
      </c>
      <c r="D154" s="3" t="s">
        <v>103</v>
      </c>
    </row>
    <row r="155" spans="1:4">
      <c r="A155" s="3" t="s">
        <v>165</v>
      </c>
      <c r="B155" s="4">
        <v>10</v>
      </c>
      <c r="C155" s="7">
        <v>7</v>
      </c>
      <c r="D155" s="3" t="s">
        <v>103</v>
      </c>
    </row>
    <row r="156" spans="1:4">
      <c r="A156" s="3" t="s">
        <v>166</v>
      </c>
      <c r="B156" s="4">
        <v>35</v>
      </c>
      <c r="C156" s="7">
        <v>24</v>
      </c>
      <c r="D156" s="3" t="s">
        <v>103</v>
      </c>
    </row>
    <row r="157" spans="1:4">
      <c r="A157" s="3" t="s">
        <v>167</v>
      </c>
      <c r="B157" s="4">
        <v>35</v>
      </c>
      <c r="C157" s="7">
        <v>24</v>
      </c>
      <c r="D157" s="3" t="s">
        <v>103</v>
      </c>
    </row>
    <row r="158" spans="1:4">
      <c r="A158" s="3" t="s">
        <v>168</v>
      </c>
      <c r="B158" s="4">
        <v>12</v>
      </c>
      <c r="C158" s="7">
        <v>6.5</v>
      </c>
      <c r="D158" s="3" t="s">
        <v>103</v>
      </c>
    </row>
    <row r="159" spans="1:4">
      <c r="A159" s="3" t="s">
        <v>169</v>
      </c>
      <c r="B159" s="4">
        <v>10</v>
      </c>
      <c r="C159" s="7">
        <v>6.5</v>
      </c>
      <c r="D159" s="3" t="s">
        <v>103</v>
      </c>
    </row>
    <row r="160" spans="1:4">
      <c r="A160" s="3" t="s">
        <v>170</v>
      </c>
      <c r="B160" s="4">
        <v>30</v>
      </c>
      <c r="C160" s="7">
        <v>21</v>
      </c>
      <c r="D160" s="3" t="s">
        <v>103</v>
      </c>
    </row>
    <row r="161" spans="1:4">
      <c r="A161" s="3" t="s">
        <v>171</v>
      </c>
      <c r="B161" s="4">
        <v>30</v>
      </c>
      <c r="C161" s="7">
        <v>21</v>
      </c>
      <c r="D161" s="3" t="s">
        <v>103</v>
      </c>
    </row>
    <row r="162" spans="1:4">
      <c r="A162" s="3" t="s">
        <v>172</v>
      </c>
      <c r="B162" s="4">
        <v>10</v>
      </c>
      <c r="C162" s="7">
        <v>7</v>
      </c>
      <c r="D162" s="3" t="s">
        <v>103</v>
      </c>
    </row>
    <row r="163" spans="1:4">
      <c r="A163" s="3" t="s">
        <v>173</v>
      </c>
      <c r="B163" s="4">
        <v>30</v>
      </c>
      <c r="C163" s="7">
        <v>21</v>
      </c>
      <c r="D163" s="3" t="s">
        <v>103</v>
      </c>
    </row>
    <row r="164" spans="1:4">
      <c r="A164" s="3" t="s">
        <v>174</v>
      </c>
      <c r="B164" s="4">
        <v>10</v>
      </c>
      <c r="C164" s="7">
        <v>6.5</v>
      </c>
      <c r="D164" s="3" t="s">
        <v>103</v>
      </c>
    </row>
    <row r="165" spans="1:4">
      <c r="A165" s="3" t="s">
        <v>175</v>
      </c>
      <c r="B165" s="4">
        <v>10</v>
      </c>
      <c r="C165" s="7">
        <v>7</v>
      </c>
      <c r="D165" s="3" t="s">
        <v>103</v>
      </c>
    </row>
    <row r="166" spans="1:4">
      <c r="A166" s="3" t="s">
        <v>176</v>
      </c>
      <c r="B166" s="4">
        <v>10</v>
      </c>
      <c r="C166" s="7">
        <v>7</v>
      </c>
      <c r="D166" s="3" t="s">
        <v>103</v>
      </c>
    </row>
    <row r="167" spans="1:4">
      <c r="A167" s="3" t="s">
        <v>177</v>
      </c>
      <c r="B167" s="4">
        <v>30</v>
      </c>
      <c r="C167" s="7">
        <v>21</v>
      </c>
      <c r="D167" s="3" t="s">
        <v>103</v>
      </c>
    </row>
    <row r="168" spans="1:4">
      <c r="A168" s="3" t="s">
        <v>178</v>
      </c>
      <c r="B168" s="4">
        <v>40</v>
      </c>
      <c r="C168" s="7">
        <v>32.15</v>
      </c>
      <c r="D168" s="3" t="s">
        <v>103</v>
      </c>
    </row>
    <row r="169" spans="1:4">
      <c r="A169" s="3" t="s">
        <v>179</v>
      </c>
      <c r="B169" s="4">
        <v>35</v>
      </c>
      <c r="C169" s="7">
        <v>30</v>
      </c>
      <c r="D169" s="3" t="s">
        <v>103</v>
      </c>
    </row>
    <row r="170" spans="1:4">
      <c r="A170" s="3" t="s">
        <v>180</v>
      </c>
      <c r="B170" s="4">
        <v>20</v>
      </c>
      <c r="C170" s="7">
        <v>15</v>
      </c>
      <c r="D170" s="3" t="s">
        <v>103</v>
      </c>
    </row>
    <row r="171" spans="1:4">
      <c r="A171" s="3" t="s">
        <v>181</v>
      </c>
      <c r="B171" s="4">
        <v>30</v>
      </c>
      <c r="C171" s="7">
        <v>17.399999999999999</v>
      </c>
      <c r="D171" s="3" t="s">
        <v>103</v>
      </c>
    </row>
    <row r="172" spans="1:4">
      <c r="A172" s="3" t="s">
        <v>182</v>
      </c>
      <c r="B172" s="4">
        <v>15</v>
      </c>
      <c r="C172" s="7">
        <v>8.5</v>
      </c>
      <c r="D172" s="3" t="s">
        <v>103</v>
      </c>
    </row>
    <row r="173" spans="1:4">
      <c r="A173" s="3" t="s">
        <v>183</v>
      </c>
      <c r="B173" s="4">
        <v>35</v>
      </c>
      <c r="C173" s="7">
        <v>22.9</v>
      </c>
      <c r="D173" s="3" t="s">
        <v>103</v>
      </c>
    </row>
    <row r="174" spans="1:4">
      <c r="A174" s="3" t="s">
        <v>184</v>
      </c>
      <c r="B174" s="4">
        <v>10</v>
      </c>
      <c r="C174" s="7">
        <v>5.74</v>
      </c>
      <c r="D174" s="3" t="s">
        <v>103</v>
      </c>
    </row>
    <row r="175" spans="1:4">
      <c r="A175" s="3" t="s">
        <v>185</v>
      </c>
      <c r="B175" s="4">
        <v>28</v>
      </c>
      <c r="C175" s="7">
        <v>23.75</v>
      </c>
      <c r="D175" s="3" t="s">
        <v>103</v>
      </c>
    </row>
    <row r="176" spans="1:4">
      <c r="A176" s="3" t="s">
        <v>186</v>
      </c>
      <c r="B176" s="4">
        <v>8</v>
      </c>
      <c r="C176" s="4">
        <v>5.88</v>
      </c>
      <c r="D176" s="3" t="s">
        <v>103</v>
      </c>
    </row>
    <row r="177" spans="1:4">
      <c r="A177" s="3" t="s">
        <v>187</v>
      </c>
      <c r="B177" s="4">
        <v>8</v>
      </c>
      <c r="C177" s="4">
        <v>5.88</v>
      </c>
      <c r="D177" s="3" t="s">
        <v>103</v>
      </c>
    </row>
    <row r="178" spans="1:4">
      <c r="A178" s="3" t="s">
        <v>188</v>
      </c>
      <c r="B178" s="4">
        <v>8</v>
      </c>
      <c r="C178" s="4">
        <v>5.88</v>
      </c>
      <c r="D178" s="3" t="s">
        <v>103</v>
      </c>
    </row>
    <row r="179" spans="1:4">
      <c r="A179" s="3" t="s">
        <v>189</v>
      </c>
      <c r="B179" s="4">
        <v>8</v>
      </c>
      <c r="C179" s="4">
        <v>5.88</v>
      </c>
      <c r="D179" s="3" t="s">
        <v>103</v>
      </c>
    </row>
    <row r="180" spans="1:4">
      <c r="A180" s="3" t="s">
        <v>190</v>
      </c>
      <c r="B180" s="4">
        <v>30</v>
      </c>
      <c r="C180" s="4">
        <v>21.5</v>
      </c>
      <c r="D180" s="3" t="s">
        <v>103</v>
      </c>
    </row>
    <row r="181" spans="1:4">
      <c r="A181" s="3" t="s">
        <v>191</v>
      </c>
      <c r="B181" s="4">
        <v>28</v>
      </c>
      <c r="C181" s="7">
        <v>22.4</v>
      </c>
      <c r="D181" s="3" t="s">
        <v>103</v>
      </c>
    </row>
    <row r="182" spans="1:4">
      <c r="A182" s="3" t="s">
        <v>192</v>
      </c>
      <c r="B182" s="4">
        <v>12</v>
      </c>
      <c r="C182" s="4">
        <v>9.15</v>
      </c>
      <c r="D182" s="3" t="s">
        <v>103</v>
      </c>
    </row>
    <row r="183" spans="1:4">
      <c r="A183" s="3" t="s">
        <v>193</v>
      </c>
      <c r="B183" s="4">
        <v>12</v>
      </c>
      <c r="C183" s="4">
        <v>9.15</v>
      </c>
      <c r="D183" s="3" t="s">
        <v>103</v>
      </c>
    </row>
    <row r="184" spans="1:4">
      <c r="A184" s="3" t="s">
        <v>194</v>
      </c>
      <c r="B184" s="4">
        <v>12</v>
      </c>
      <c r="C184" s="4">
        <v>9.15</v>
      </c>
      <c r="D184" s="3" t="s">
        <v>103</v>
      </c>
    </row>
    <row r="185" spans="1:4">
      <c r="A185" s="3" t="s">
        <v>195</v>
      </c>
      <c r="B185" s="4">
        <v>75</v>
      </c>
      <c r="C185" s="4">
        <v>54</v>
      </c>
      <c r="D185" s="3" t="s">
        <v>103</v>
      </c>
    </row>
    <row r="186" spans="1:4">
      <c r="A186" s="3" t="s">
        <v>196</v>
      </c>
      <c r="B186" s="4">
        <v>45</v>
      </c>
      <c r="C186" s="4">
        <v>33.5</v>
      </c>
      <c r="D186" s="3" t="s">
        <v>103</v>
      </c>
    </row>
    <row r="187" spans="1:4">
      <c r="A187" s="3" t="s">
        <v>197</v>
      </c>
      <c r="B187" s="4">
        <v>75</v>
      </c>
      <c r="C187" s="4">
        <v>54</v>
      </c>
      <c r="D187" s="3" t="s">
        <v>103</v>
      </c>
    </row>
    <row r="188" spans="1:4">
      <c r="A188" s="3" t="s">
        <v>198</v>
      </c>
      <c r="B188" s="4">
        <v>45</v>
      </c>
      <c r="C188" s="4">
        <v>33.5</v>
      </c>
      <c r="D188" s="3" t="s">
        <v>103</v>
      </c>
    </row>
    <row r="189" spans="1:4">
      <c r="A189" s="3" t="s">
        <v>199</v>
      </c>
      <c r="B189" s="4">
        <v>75</v>
      </c>
      <c r="C189" s="4">
        <v>53.9</v>
      </c>
      <c r="D189" s="3" t="s">
        <v>103</v>
      </c>
    </row>
    <row r="190" spans="1:4">
      <c r="A190" s="3" t="s">
        <v>200</v>
      </c>
      <c r="B190" s="4">
        <v>8</v>
      </c>
      <c r="C190" s="4">
        <f>57.8/10</f>
        <v>5.7799999999999994</v>
      </c>
      <c r="D190" s="3" t="s">
        <v>103</v>
      </c>
    </row>
    <row r="191" spans="1:4">
      <c r="A191" s="3" t="s">
        <v>201</v>
      </c>
      <c r="B191" s="4">
        <v>35</v>
      </c>
      <c r="C191" s="4">
        <v>22.3</v>
      </c>
      <c r="D191" s="3" t="s">
        <v>103</v>
      </c>
    </row>
    <row r="192" spans="1:4">
      <c r="A192" s="3" t="s">
        <v>202</v>
      </c>
      <c r="B192" s="4">
        <v>20</v>
      </c>
      <c r="C192" s="4">
        <v>9</v>
      </c>
      <c r="D192" s="3" t="s">
        <v>103</v>
      </c>
    </row>
    <row r="193" spans="1:4">
      <c r="A193" s="3" t="s">
        <v>203</v>
      </c>
      <c r="B193" s="4">
        <v>25</v>
      </c>
      <c r="C193" s="4">
        <v>15</v>
      </c>
      <c r="D193" s="3" t="s">
        <v>103</v>
      </c>
    </row>
    <row r="194" spans="1:4">
      <c r="A194" s="3" t="s">
        <v>204</v>
      </c>
      <c r="B194" s="4">
        <v>10</v>
      </c>
      <c r="C194" s="6">
        <f>200/30</f>
        <v>6.666666666666667</v>
      </c>
      <c r="D194" s="3" t="s">
        <v>103</v>
      </c>
    </row>
    <row r="195" spans="1:4">
      <c r="A195" s="3" t="s">
        <v>206</v>
      </c>
      <c r="B195" s="4">
        <v>8</v>
      </c>
      <c r="C195" s="7">
        <f>60.75/10</f>
        <v>6.0750000000000002</v>
      </c>
      <c r="D195" s="3" t="s">
        <v>205</v>
      </c>
    </row>
    <row r="196" spans="1:4">
      <c r="A196" s="3" t="s">
        <v>207</v>
      </c>
      <c r="B196" s="4">
        <v>8</v>
      </c>
      <c r="C196" s="7">
        <f>60.75/10</f>
        <v>6.0750000000000002</v>
      </c>
      <c r="D196" s="3" t="s">
        <v>205</v>
      </c>
    </row>
    <row r="197" spans="1:4">
      <c r="A197" s="3" t="s">
        <v>208</v>
      </c>
      <c r="B197" s="4">
        <v>4</v>
      </c>
      <c r="C197" s="6">
        <f>51.5/20</f>
        <v>2.5750000000000002</v>
      </c>
      <c r="D197" s="3" t="s">
        <v>205</v>
      </c>
    </row>
    <row r="198" spans="1:4">
      <c r="A198" s="3" t="s">
        <v>209</v>
      </c>
      <c r="B198" s="4">
        <v>10</v>
      </c>
      <c r="C198" s="7">
        <f>72/10</f>
        <v>7.2</v>
      </c>
      <c r="D198" s="3" t="s">
        <v>205</v>
      </c>
    </row>
    <row r="199" spans="1:4">
      <c r="A199" s="3" t="s">
        <v>210</v>
      </c>
      <c r="B199" s="4">
        <v>10</v>
      </c>
      <c r="C199" s="7">
        <f>72/10</f>
        <v>7.2</v>
      </c>
      <c r="D199" s="3" t="s">
        <v>205</v>
      </c>
    </row>
    <row r="200" spans="1:4">
      <c r="A200" s="3" t="s">
        <v>211</v>
      </c>
      <c r="B200" s="4">
        <v>10</v>
      </c>
      <c r="C200" s="7">
        <f>72/10</f>
        <v>7.2</v>
      </c>
      <c r="D200" s="3" t="s">
        <v>205</v>
      </c>
    </row>
    <row r="201" spans="1:4">
      <c r="A201" s="3" t="s">
        <v>212</v>
      </c>
      <c r="B201" s="4">
        <v>8</v>
      </c>
      <c r="C201" s="7">
        <v>5.9</v>
      </c>
      <c r="D201" s="3" t="s">
        <v>205</v>
      </c>
    </row>
    <row r="202" spans="1:4">
      <c r="A202" s="3" t="s">
        <v>213</v>
      </c>
      <c r="B202" s="4">
        <v>8</v>
      </c>
      <c r="C202" s="7">
        <v>5.9</v>
      </c>
      <c r="D202" s="3" t="s">
        <v>205</v>
      </c>
    </row>
    <row r="203" spans="1:4">
      <c r="A203" s="3" t="s">
        <v>214</v>
      </c>
      <c r="B203" s="4">
        <v>8</v>
      </c>
      <c r="C203" s="7">
        <f>58.85/10</f>
        <v>5.8849999999999998</v>
      </c>
      <c r="D203" s="3" t="s">
        <v>205</v>
      </c>
    </row>
    <row r="204" spans="1:4">
      <c r="A204" s="3" t="s">
        <v>215</v>
      </c>
      <c r="B204" s="4">
        <v>8</v>
      </c>
      <c r="C204" s="7">
        <f>58.85/10</f>
        <v>5.8849999999999998</v>
      </c>
      <c r="D204" s="3" t="s">
        <v>205</v>
      </c>
    </row>
    <row r="205" spans="1:4">
      <c r="A205" s="3" t="s">
        <v>216</v>
      </c>
      <c r="B205" s="4">
        <v>8</v>
      </c>
      <c r="C205" s="7">
        <f>60.95/10</f>
        <v>6.0950000000000006</v>
      </c>
      <c r="D205" s="3" t="s">
        <v>205</v>
      </c>
    </row>
    <row r="206" spans="1:4">
      <c r="A206" s="3" t="s">
        <v>217</v>
      </c>
      <c r="B206" s="4">
        <v>8</v>
      </c>
      <c r="C206" s="7">
        <f>59.55/10</f>
        <v>5.9550000000000001</v>
      </c>
      <c r="D206" s="3" t="s">
        <v>205</v>
      </c>
    </row>
    <row r="207" spans="1:4">
      <c r="A207" s="3" t="s">
        <v>218</v>
      </c>
      <c r="B207" s="4">
        <v>8</v>
      </c>
      <c r="C207" s="7">
        <v>6.25</v>
      </c>
      <c r="D207" s="3" t="s">
        <v>205</v>
      </c>
    </row>
    <row r="208" spans="1:4">
      <c r="A208" s="3" t="s">
        <v>219</v>
      </c>
      <c r="B208" s="4">
        <v>8</v>
      </c>
      <c r="C208" s="7">
        <f>57.75/10</f>
        <v>5.7750000000000004</v>
      </c>
      <c r="D208" s="3" t="s">
        <v>205</v>
      </c>
    </row>
    <row r="209" spans="1:4">
      <c r="A209" s="3" t="s">
        <v>220</v>
      </c>
      <c r="B209" s="4">
        <v>8</v>
      </c>
      <c r="C209" s="7">
        <f>133.75/24</f>
        <v>5.572916666666667</v>
      </c>
      <c r="D209" s="3" t="s">
        <v>205</v>
      </c>
    </row>
    <row r="210" spans="1:4">
      <c r="A210" s="3" t="s">
        <v>221</v>
      </c>
      <c r="B210" s="4">
        <v>8</v>
      </c>
      <c r="C210" s="7">
        <f>58.85/10</f>
        <v>5.8849999999999998</v>
      </c>
      <c r="D210" s="3" t="s">
        <v>205</v>
      </c>
    </row>
    <row r="211" spans="1:4">
      <c r="A211" s="3" t="s">
        <v>222</v>
      </c>
      <c r="B211" s="4">
        <v>8</v>
      </c>
      <c r="C211" s="7">
        <v>5.6749999999999998</v>
      </c>
      <c r="D211" s="3" t="s">
        <v>205</v>
      </c>
    </row>
    <row r="212" spans="1:4">
      <c r="A212" s="3" t="s">
        <v>223</v>
      </c>
      <c r="B212" s="4">
        <v>18</v>
      </c>
      <c r="C212" s="7">
        <v>13.7</v>
      </c>
      <c r="D212" s="3" t="s">
        <v>205</v>
      </c>
    </row>
    <row r="213" spans="1:4">
      <c r="A213" s="3" t="s">
        <v>224</v>
      </c>
      <c r="B213" s="4">
        <v>18</v>
      </c>
      <c r="C213" s="7">
        <v>13.7</v>
      </c>
      <c r="D213" s="3" t="s">
        <v>205</v>
      </c>
    </row>
    <row r="214" spans="1:4">
      <c r="A214" s="3" t="s">
        <v>225</v>
      </c>
      <c r="B214" s="4">
        <v>20</v>
      </c>
      <c r="C214" s="7">
        <v>16</v>
      </c>
      <c r="D214" s="3" t="s">
        <v>205</v>
      </c>
    </row>
    <row r="215" spans="1:4">
      <c r="A215" s="3" t="s">
        <v>227</v>
      </c>
      <c r="B215" s="4">
        <v>12</v>
      </c>
      <c r="C215" s="7">
        <v>8.4600000000000009</v>
      </c>
      <c r="D215" s="3" t="s">
        <v>226</v>
      </c>
    </row>
    <row r="216" spans="1:4">
      <c r="A216" s="3" t="s">
        <v>228</v>
      </c>
      <c r="B216" s="4">
        <v>12</v>
      </c>
      <c r="C216" s="7">
        <v>8.4600000000000009</v>
      </c>
      <c r="D216" s="3" t="s">
        <v>226</v>
      </c>
    </row>
    <row r="217" spans="1:4">
      <c r="A217" s="3" t="s">
        <v>230</v>
      </c>
      <c r="B217" s="4">
        <v>26</v>
      </c>
      <c r="C217" s="7">
        <v>21.75</v>
      </c>
      <c r="D217" s="3" t="s">
        <v>229</v>
      </c>
    </row>
    <row r="218" spans="1:4">
      <c r="A218" s="3" t="s">
        <v>231</v>
      </c>
      <c r="B218" s="4">
        <v>26</v>
      </c>
      <c r="C218" s="7">
        <v>21.75</v>
      </c>
      <c r="D218" s="3" t="s">
        <v>229</v>
      </c>
    </row>
    <row r="219" spans="1:4">
      <c r="A219" s="3" t="s">
        <v>232</v>
      </c>
      <c r="B219" s="4">
        <v>26</v>
      </c>
      <c r="C219" s="7">
        <v>21.75</v>
      </c>
      <c r="D219" s="3" t="s">
        <v>229</v>
      </c>
    </row>
    <row r="220" spans="1:4">
      <c r="A220" s="3" t="s">
        <v>233</v>
      </c>
      <c r="B220" s="4">
        <v>26</v>
      </c>
      <c r="C220" s="7">
        <v>21.75</v>
      </c>
      <c r="D220" s="3" t="s">
        <v>229</v>
      </c>
    </row>
    <row r="221" spans="1:4">
      <c r="A221" s="3" t="s">
        <v>234</v>
      </c>
      <c r="B221" s="4">
        <v>28</v>
      </c>
      <c r="C221" s="7">
        <v>24</v>
      </c>
      <c r="D221" s="3" t="s">
        <v>229</v>
      </c>
    </row>
    <row r="222" spans="1:4">
      <c r="A222" s="3" t="s">
        <v>235</v>
      </c>
      <c r="B222" s="4">
        <v>26</v>
      </c>
      <c r="C222" s="7">
        <v>21.75</v>
      </c>
      <c r="D222" s="3" t="s">
        <v>229</v>
      </c>
    </row>
    <row r="223" spans="1:4">
      <c r="A223" s="3" t="s">
        <v>236</v>
      </c>
      <c r="B223" s="4">
        <v>26</v>
      </c>
      <c r="C223" s="7">
        <v>21.75</v>
      </c>
      <c r="D223" s="3" t="s">
        <v>229</v>
      </c>
    </row>
    <row r="224" spans="1:4">
      <c r="A224" s="3" t="s">
        <v>237</v>
      </c>
      <c r="B224" s="4">
        <v>26</v>
      </c>
      <c r="C224" s="7">
        <v>21.65</v>
      </c>
      <c r="D224" s="3" t="s">
        <v>229</v>
      </c>
    </row>
    <row r="225" spans="1:4">
      <c r="A225" s="3" t="s">
        <v>238</v>
      </c>
      <c r="B225" s="4">
        <v>26</v>
      </c>
      <c r="C225" s="7">
        <v>21.45</v>
      </c>
      <c r="D225" s="3" t="s">
        <v>229</v>
      </c>
    </row>
    <row r="226" spans="1:4">
      <c r="A226" s="3" t="s">
        <v>239</v>
      </c>
      <c r="B226" s="4">
        <v>12</v>
      </c>
      <c r="C226" s="7">
        <v>7.5</v>
      </c>
      <c r="D226" s="3" t="s">
        <v>226</v>
      </c>
    </row>
    <row r="227" spans="1:4">
      <c r="A227" s="3" t="s">
        <v>240</v>
      </c>
      <c r="B227" s="4">
        <v>12</v>
      </c>
      <c r="C227" s="7">
        <v>7.5</v>
      </c>
      <c r="D227" s="3" t="s">
        <v>226</v>
      </c>
    </row>
    <row r="228" spans="1:4">
      <c r="A228" s="3" t="s">
        <v>241</v>
      </c>
      <c r="B228" s="4">
        <v>23</v>
      </c>
      <c r="C228" s="7">
        <f>71/4</f>
        <v>17.75</v>
      </c>
      <c r="D228" s="3" t="s">
        <v>226</v>
      </c>
    </row>
    <row r="229" spans="1:4">
      <c r="A229" s="3" t="s">
        <v>242</v>
      </c>
      <c r="B229" s="4">
        <v>23</v>
      </c>
      <c r="C229" s="7">
        <v>17.75</v>
      </c>
      <c r="D229" s="3" t="s">
        <v>226</v>
      </c>
    </row>
    <row r="230" spans="1:4">
      <c r="A230" s="3" t="s">
        <v>243</v>
      </c>
      <c r="B230" s="4">
        <v>20</v>
      </c>
      <c r="C230" s="7">
        <v>14</v>
      </c>
      <c r="D230" s="3" t="s">
        <v>226</v>
      </c>
    </row>
    <row r="231" spans="1:4">
      <c r="A231" s="3" t="s">
        <v>244</v>
      </c>
      <c r="B231" s="4">
        <v>20</v>
      </c>
      <c r="C231" s="7">
        <v>14</v>
      </c>
      <c r="D231" s="3" t="s">
        <v>226</v>
      </c>
    </row>
    <row r="232" spans="1:4">
      <c r="A232" s="3" t="s">
        <v>245</v>
      </c>
      <c r="B232" s="4">
        <v>20</v>
      </c>
      <c r="C232" s="7">
        <v>14</v>
      </c>
      <c r="D232" s="3" t="s">
        <v>226</v>
      </c>
    </row>
    <row r="233" spans="1:4">
      <c r="A233" s="3" t="s">
        <v>246</v>
      </c>
      <c r="B233" s="4">
        <v>20</v>
      </c>
      <c r="C233" s="7">
        <v>14</v>
      </c>
      <c r="D233" s="3" t="s">
        <v>226</v>
      </c>
    </row>
    <row r="234" spans="1:4">
      <c r="A234" s="3" t="s">
        <v>247</v>
      </c>
      <c r="B234" s="4">
        <v>12</v>
      </c>
      <c r="C234" s="7">
        <v>8.75</v>
      </c>
      <c r="D234" s="3" t="s">
        <v>226</v>
      </c>
    </row>
    <row r="235" spans="1:4">
      <c r="A235" s="3" t="s">
        <v>248</v>
      </c>
      <c r="B235" s="4">
        <v>12</v>
      </c>
      <c r="C235" s="7">
        <v>8.75</v>
      </c>
      <c r="D235" s="3" t="s">
        <v>226</v>
      </c>
    </row>
    <row r="236" spans="1:4">
      <c r="A236" s="3" t="s">
        <v>249</v>
      </c>
      <c r="B236" s="4">
        <v>12</v>
      </c>
      <c r="C236" s="7">
        <v>10</v>
      </c>
      <c r="D236" s="3" t="s">
        <v>226</v>
      </c>
    </row>
    <row r="237" spans="1:4">
      <c r="A237" s="3" t="s">
        <v>250</v>
      </c>
      <c r="B237" s="4">
        <v>15</v>
      </c>
      <c r="C237" s="7">
        <f>27.6/2</f>
        <v>13.8</v>
      </c>
      <c r="D237" s="3" t="s">
        <v>226</v>
      </c>
    </row>
    <row r="238" spans="1:4">
      <c r="A238" s="3" t="s">
        <v>251</v>
      </c>
      <c r="B238" s="4">
        <v>12</v>
      </c>
      <c r="C238" s="4">
        <v>8.25</v>
      </c>
      <c r="D238" s="3" t="s">
        <v>226</v>
      </c>
    </row>
    <row r="239" spans="1:4">
      <c r="A239" s="3" t="s">
        <v>252</v>
      </c>
      <c r="B239" s="4">
        <v>18</v>
      </c>
      <c r="C239" s="7">
        <v>11</v>
      </c>
      <c r="D239" s="3" t="s">
        <v>226</v>
      </c>
    </row>
    <row r="240" spans="1:4">
      <c r="A240" s="3" t="s">
        <v>253</v>
      </c>
      <c r="B240" s="4">
        <v>18</v>
      </c>
      <c r="C240" s="4">
        <v>13.75</v>
      </c>
      <c r="D240" s="3" t="s">
        <v>226</v>
      </c>
    </row>
    <row r="241" spans="1:4">
      <c r="A241" s="3" t="s">
        <v>254</v>
      </c>
      <c r="B241" s="4">
        <v>18</v>
      </c>
      <c r="C241" s="4">
        <v>13.75</v>
      </c>
      <c r="D241" s="3" t="s">
        <v>226</v>
      </c>
    </row>
    <row r="242" spans="1:4">
      <c r="A242" s="3" t="s">
        <v>256</v>
      </c>
      <c r="B242" s="4">
        <v>2</v>
      </c>
      <c r="C242" s="7">
        <f>19.8/20</f>
        <v>0.99</v>
      </c>
      <c r="D242" s="3" t="s">
        <v>255</v>
      </c>
    </row>
    <row r="243" spans="1:4">
      <c r="A243" s="3" t="s">
        <v>257</v>
      </c>
      <c r="B243" s="4">
        <v>2</v>
      </c>
      <c r="C243" s="7">
        <f>19.8/20</f>
        <v>0.99</v>
      </c>
      <c r="D243" s="3" t="s">
        <v>255</v>
      </c>
    </row>
    <row r="244" spans="1:4">
      <c r="A244" s="3" t="s">
        <v>258</v>
      </c>
      <c r="B244" s="4">
        <v>2</v>
      </c>
      <c r="C244" s="7">
        <f>19.8/20</f>
        <v>0.99</v>
      </c>
      <c r="D244" s="3" t="s">
        <v>255</v>
      </c>
    </row>
    <row r="245" spans="1:4">
      <c r="A245" s="3" t="s">
        <v>259</v>
      </c>
      <c r="B245" s="4">
        <v>25</v>
      </c>
      <c r="C245" s="7">
        <v>21</v>
      </c>
      <c r="D245" s="3" t="s">
        <v>255</v>
      </c>
    </row>
    <row r="246" spans="1:4">
      <c r="A246" s="3" t="s">
        <v>260</v>
      </c>
      <c r="B246" s="4">
        <v>25</v>
      </c>
      <c r="C246" s="7">
        <v>18.5</v>
      </c>
      <c r="D246" s="3" t="s">
        <v>255</v>
      </c>
    </row>
    <row r="247" spans="1:4">
      <c r="A247" s="3" t="s">
        <v>261</v>
      </c>
      <c r="B247" s="4">
        <v>22</v>
      </c>
      <c r="C247" s="7">
        <v>17.3</v>
      </c>
      <c r="D247" s="3" t="s">
        <v>255</v>
      </c>
    </row>
    <row r="248" spans="1:4">
      <c r="A248" s="3" t="s">
        <v>262</v>
      </c>
      <c r="B248" s="4">
        <v>22</v>
      </c>
      <c r="C248" s="7">
        <v>17.3</v>
      </c>
      <c r="D248" s="3" t="s">
        <v>255</v>
      </c>
    </row>
    <row r="249" spans="1:4">
      <c r="A249" s="3" t="s">
        <v>263</v>
      </c>
      <c r="B249" s="4">
        <v>22</v>
      </c>
      <c r="C249" s="7">
        <v>17.3</v>
      </c>
      <c r="D249" s="3" t="s">
        <v>255</v>
      </c>
    </row>
    <row r="250" spans="1:4">
      <c r="A250" s="3" t="s">
        <v>264</v>
      </c>
      <c r="B250" s="4">
        <v>22</v>
      </c>
      <c r="C250" s="7">
        <v>17.3</v>
      </c>
      <c r="D250" s="3" t="s">
        <v>255</v>
      </c>
    </row>
    <row r="251" spans="1:4">
      <c r="A251" s="3" t="s">
        <v>265</v>
      </c>
      <c r="B251" s="4">
        <v>22</v>
      </c>
      <c r="C251" s="7">
        <v>17.3</v>
      </c>
      <c r="D251" s="3" t="s">
        <v>255</v>
      </c>
    </row>
    <row r="252" spans="1:4">
      <c r="A252" s="3" t="s">
        <v>266</v>
      </c>
      <c r="B252" s="4">
        <v>22</v>
      </c>
      <c r="C252" s="7">
        <v>17.3</v>
      </c>
      <c r="D252" s="3" t="s">
        <v>255</v>
      </c>
    </row>
    <row r="253" spans="1:4">
      <c r="A253" s="3" t="s">
        <v>268</v>
      </c>
      <c r="B253" s="4">
        <v>2</v>
      </c>
      <c r="C253" s="7">
        <f>19.8/20</f>
        <v>0.99</v>
      </c>
      <c r="D253" s="3" t="s">
        <v>267</v>
      </c>
    </row>
    <row r="254" spans="1:4">
      <c r="A254" s="3" t="s">
        <v>269</v>
      </c>
      <c r="B254" s="4">
        <v>2</v>
      </c>
      <c r="C254" s="7">
        <f>19.8/20</f>
        <v>0.99</v>
      </c>
      <c r="D254" s="3" t="s">
        <v>267</v>
      </c>
    </row>
    <row r="255" spans="1:4">
      <c r="A255" s="3" t="s">
        <v>270</v>
      </c>
      <c r="B255" s="4">
        <v>2</v>
      </c>
      <c r="C255" s="7">
        <f>19.35/20</f>
        <v>0.96750000000000003</v>
      </c>
      <c r="D255" s="3" t="s">
        <v>267</v>
      </c>
    </row>
    <row r="256" spans="1:4">
      <c r="A256" s="3" t="s">
        <v>271</v>
      </c>
      <c r="B256" s="4">
        <v>2</v>
      </c>
      <c r="C256" s="7">
        <f>19.8/20</f>
        <v>0.99</v>
      </c>
      <c r="D256" s="3" t="s">
        <v>267</v>
      </c>
    </row>
    <row r="257" spans="1:4">
      <c r="A257" s="3" t="s">
        <v>272</v>
      </c>
      <c r="B257" s="4">
        <v>2</v>
      </c>
      <c r="C257" s="7">
        <f>19.8/20</f>
        <v>0.99</v>
      </c>
      <c r="D257" s="3" t="s">
        <v>267</v>
      </c>
    </row>
    <row r="258" spans="1:4">
      <c r="A258" s="3" t="s">
        <v>274</v>
      </c>
      <c r="B258" s="4">
        <v>5</v>
      </c>
      <c r="C258" s="7">
        <f>96.7/120*3</f>
        <v>2.4175000000000004</v>
      </c>
      <c r="D258" s="3" t="s">
        <v>273</v>
      </c>
    </row>
    <row r="259" spans="1:4">
      <c r="A259" s="3" t="s">
        <v>275</v>
      </c>
      <c r="B259" s="4">
        <v>5</v>
      </c>
      <c r="C259" s="7">
        <f>96.7/125*4</f>
        <v>3.0944000000000003</v>
      </c>
      <c r="D259" s="3" t="s">
        <v>273</v>
      </c>
    </row>
    <row r="260" spans="1:4">
      <c r="A260" s="3" t="s">
        <v>276</v>
      </c>
      <c r="B260" s="4">
        <v>5</v>
      </c>
      <c r="C260" s="7">
        <f>0.745*4</f>
        <v>2.98</v>
      </c>
      <c r="D260" s="3" t="s">
        <v>273</v>
      </c>
    </row>
    <row r="261" spans="1:4">
      <c r="A261" s="3" t="s">
        <v>277</v>
      </c>
      <c r="B261" s="4">
        <v>2</v>
      </c>
      <c r="C261" s="7">
        <f>49/30</f>
        <v>1.6333333333333333</v>
      </c>
      <c r="D261" s="3" t="s">
        <v>273</v>
      </c>
    </row>
    <row r="262" spans="1:4">
      <c r="A262" s="3" t="s">
        <v>278</v>
      </c>
      <c r="B262" s="4">
        <v>2</v>
      </c>
      <c r="C262" s="7">
        <f>121.3/100</f>
        <v>1.2130000000000001</v>
      </c>
      <c r="D262" s="3" t="s">
        <v>273</v>
      </c>
    </row>
    <row r="263" spans="1:4">
      <c r="A263" s="3" t="s">
        <v>279</v>
      </c>
      <c r="B263" s="4">
        <v>6</v>
      </c>
      <c r="C263" s="7">
        <f>55.45/12</f>
        <v>4.6208333333333336</v>
      </c>
      <c r="D263" s="3" t="s">
        <v>273</v>
      </c>
    </row>
    <row r="264" spans="1:4">
      <c r="A264" s="3" t="s">
        <v>280</v>
      </c>
      <c r="B264" s="4">
        <v>5</v>
      </c>
      <c r="C264" s="7">
        <f>(40/50)*4</f>
        <v>3.2</v>
      </c>
      <c r="D264" s="3" t="s">
        <v>273</v>
      </c>
    </row>
    <row r="265" spans="1:4">
      <c r="A265" s="3" t="s">
        <v>281</v>
      </c>
      <c r="B265" s="4">
        <v>12</v>
      </c>
      <c r="C265" s="7">
        <v>8.1458333333333339</v>
      </c>
      <c r="D265" s="3" t="s">
        <v>273</v>
      </c>
    </row>
    <row r="266" spans="1:4">
      <c r="A266" s="3" t="s">
        <v>282</v>
      </c>
      <c r="B266" s="4">
        <v>12</v>
      </c>
      <c r="C266" s="7">
        <v>8.1458333333333339</v>
      </c>
      <c r="D266" s="3" t="s">
        <v>273</v>
      </c>
    </row>
    <row r="267" spans="1:4">
      <c r="A267" s="3" t="s">
        <v>283</v>
      </c>
      <c r="B267" s="4">
        <v>2</v>
      </c>
      <c r="C267" s="7">
        <v>1.4166666666666667</v>
      </c>
      <c r="D267" s="3" t="s">
        <v>273</v>
      </c>
    </row>
    <row r="268" spans="1:4">
      <c r="A268" s="3" t="s">
        <v>284</v>
      </c>
      <c r="B268" s="4">
        <v>3</v>
      </c>
      <c r="C268" s="7">
        <v>2.484375</v>
      </c>
      <c r="D268" s="3" t="s">
        <v>273</v>
      </c>
    </row>
    <row r="269" spans="1:4">
      <c r="A269" s="3" t="s">
        <v>285</v>
      </c>
      <c r="B269" s="4">
        <v>5</v>
      </c>
      <c r="C269" s="7">
        <f>(35.3/50)*4</f>
        <v>2.8239999999999998</v>
      </c>
      <c r="D269" s="3" t="s">
        <v>273</v>
      </c>
    </row>
    <row r="270" spans="1:4">
      <c r="A270" s="3" t="s">
        <v>286</v>
      </c>
      <c r="B270" s="4">
        <v>5</v>
      </c>
      <c r="C270" s="7">
        <f>(31.95/40)*4</f>
        <v>3.1949999999999998</v>
      </c>
      <c r="D270" s="3" t="s">
        <v>273</v>
      </c>
    </row>
    <row r="271" spans="1:4">
      <c r="A271" s="3" t="s">
        <v>287</v>
      </c>
      <c r="B271" s="4">
        <v>5</v>
      </c>
      <c r="C271" s="7">
        <f>(36.65/50)*4</f>
        <v>2.9319999999999999</v>
      </c>
      <c r="D271" s="3" t="s">
        <v>273</v>
      </c>
    </row>
    <row r="272" spans="1:4">
      <c r="A272" s="3" t="s">
        <v>288</v>
      </c>
      <c r="B272" s="4">
        <v>5</v>
      </c>
      <c r="C272" s="7">
        <v>2.88</v>
      </c>
      <c r="D272" s="3" t="s">
        <v>273</v>
      </c>
    </row>
    <row r="273" spans="1:4">
      <c r="A273" s="3" t="s">
        <v>289</v>
      </c>
      <c r="B273" s="4">
        <v>5</v>
      </c>
      <c r="C273" s="7">
        <v>2.37</v>
      </c>
      <c r="D273" s="3" t="s">
        <v>273</v>
      </c>
    </row>
    <row r="274" spans="1:4">
      <c r="A274" s="3" t="s">
        <v>290</v>
      </c>
      <c r="B274" s="4">
        <v>5</v>
      </c>
      <c r="C274" s="7">
        <f>(34/50)*3</f>
        <v>2.04</v>
      </c>
      <c r="D274" s="3" t="s">
        <v>273</v>
      </c>
    </row>
    <row r="275" spans="1:4">
      <c r="A275" s="3" t="s">
        <v>291</v>
      </c>
      <c r="B275" s="4">
        <v>5</v>
      </c>
      <c r="C275" s="7">
        <f>(40.75/50)*4</f>
        <v>3.26</v>
      </c>
      <c r="D275" s="3" t="s">
        <v>273</v>
      </c>
    </row>
    <row r="276" spans="1:4">
      <c r="A276" s="3" t="s">
        <v>292</v>
      </c>
      <c r="B276" s="4">
        <v>5</v>
      </c>
      <c r="C276" s="7">
        <f>(40.75/50)*4</f>
        <v>3.26</v>
      </c>
      <c r="D276" s="3" t="s">
        <v>273</v>
      </c>
    </row>
    <row r="277" spans="1:4">
      <c r="A277" s="3" t="s">
        <v>293</v>
      </c>
      <c r="B277" s="4">
        <v>27</v>
      </c>
      <c r="C277" s="7">
        <v>23.28</v>
      </c>
      <c r="D277" s="3" t="s">
        <v>613</v>
      </c>
    </row>
    <row r="278" spans="1:4">
      <c r="A278" s="3" t="s">
        <v>294</v>
      </c>
      <c r="B278" s="4">
        <v>27</v>
      </c>
      <c r="C278" s="7">
        <v>23.28</v>
      </c>
      <c r="D278" s="3" t="s">
        <v>613</v>
      </c>
    </row>
    <row r="279" spans="1:4">
      <c r="A279" s="3" t="s">
        <v>295</v>
      </c>
      <c r="B279" s="4">
        <v>27</v>
      </c>
      <c r="C279" s="7">
        <v>23.28</v>
      </c>
      <c r="D279" s="3" t="s">
        <v>613</v>
      </c>
    </row>
    <row r="280" spans="1:4">
      <c r="A280" s="3" t="s">
        <v>296</v>
      </c>
      <c r="B280" s="4">
        <v>27</v>
      </c>
      <c r="C280" s="7">
        <v>23.28</v>
      </c>
      <c r="D280" s="3" t="s">
        <v>613</v>
      </c>
    </row>
    <row r="281" spans="1:4">
      <c r="A281" s="3" t="s">
        <v>297</v>
      </c>
      <c r="B281" s="4">
        <v>27</v>
      </c>
      <c r="C281" s="7">
        <v>23.28</v>
      </c>
      <c r="D281" s="3" t="s">
        <v>613</v>
      </c>
    </row>
    <row r="282" spans="1:4">
      <c r="A282" s="3" t="s">
        <v>298</v>
      </c>
      <c r="B282" s="4">
        <v>20</v>
      </c>
      <c r="C282" s="7">
        <v>16.399999999999999</v>
      </c>
      <c r="D282" s="3" t="s">
        <v>613</v>
      </c>
    </row>
    <row r="283" spans="1:4">
      <c r="A283" s="3" t="s">
        <v>299</v>
      </c>
      <c r="B283" s="4">
        <v>20</v>
      </c>
      <c r="C283" s="7">
        <v>16.399999999999999</v>
      </c>
      <c r="D283" s="3" t="s">
        <v>613</v>
      </c>
    </row>
    <row r="284" spans="1:4">
      <c r="A284" s="3" t="s">
        <v>300</v>
      </c>
      <c r="B284" s="4">
        <v>20</v>
      </c>
      <c r="C284" s="7">
        <v>16.399999999999999</v>
      </c>
      <c r="D284" s="3" t="s">
        <v>613</v>
      </c>
    </row>
    <row r="285" spans="1:4">
      <c r="A285" s="3" t="s">
        <v>301</v>
      </c>
      <c r="B285" s="4">
        <v>20</v>
      </c>
      <c r="C285" s="7">
        <v>16.399999999999999</v>
      </c>
      <c r="D285" s="3" t="s">
        <v>613</v>
      </c>
    </row>
    <row r="286" spans="1:4">
      <c r="A286" s="3" t="s">
        <v>302</v>
      </c>
      <c r="B286" s="4">
        <v>20</v>
      </c>
      <c r="C286" s="7">
        <v>16.399999999999999</v>
      </c>
      <c r="D286" s="3" t="s">
        <v>613</v>
      </c>
    </row>
    <row r="287" spans="1:4">
      <c r="A287" s="3" t="s">
        <v>303</v>
      </c>
      <c r="B287" s="4">
        <v>16</v>
      </c>
      <c r="C287" s="7">
        <v>10.31</v>
      </c>
      <c r="D287" s="3" t="s">
        <v>613</v>
      </c>
    </row>
    <row r="288" spans="1:4">
      <c r="A288" s="3" t="s">
        <v>304</v>
      </c>
      <c r="B288" s="4">
        <v>16</v>
      </c>
      <c r="C288" s="7">
        <v>10.31</v>
      </c>
      <c r="D288" s="3" t="s">
        <v>613</v>
      </c>
    </row>
    <row r="289" spans="1:4">
      <c r="A289" s="3" t="s">
        <v>305</v>
      </c>
      <c r="B289" s="4">
        <v>16</v>
      </c>
      <c r="C289" s="7">
        <v>10.31</v>
      </c>
      <c r="D289" s="3" t="s">
        <v>613</v>
      </c>
    </row>
    <row r="290" spans="1:4">
      <c r="A290" s="3" t="s">
        <v>306</v>
      </c>
      <c r="B290" s="4">
        <v>16</v>
      </c>
      <c r="C290" s="7">
        <v>10.31</v>
      </c>
      <c r="D290" s="3" t="s">
        <v>613</v>
      </c>
    </row>
    <row r="291" spans="1:4">
      <c r="A291" s="3" t="s">
        <v>307</v>
      </c>
      <c r="B291" s="4">
        <v>16</v>
      </c>
      <c r="C291" s="7">
        <v>14.29</v>
      </c>
      <c r="D291" s="3" t="s">
        <v>613</v>
      </c>
    </row>
    <row r="292" spans="1:4">
      <c r="A292" s="3" t="s">
        <v>308</v>
      </c>
      <c r="B292" s="4">
        <v>16</v>
      </c>
      <c r="C292" s="7">
        <v>14.29</v>
      </c>
      <c r="D292" s="3" t="s">
        <v>613</v>
      </c>
    </row>
    <row r="293" spans="1:4">
      <c r="A293" s="3" t="s">
        <v>309</v>
      </c>
      <c r="B293" s="4">
        <v>10</v>
      </c>
      <c r="C293" s="7">
        <v>7.4</v>
      </c>
      <c r="D293" s="3" t="s">
        <v>613</v>
      </c>
    </row>
    <row r="294" spans="1:4">
      <c r="A294" s="3" t="s">
        <v>310</v>
      </c>
      <c r="B294" s="4">
        <v>10</v>
      </c>
      <c r="C294" s="7">
        <v>7.4</v>
      </c>
      <c r="D294" s="3" t="s">
        <v>613</v>
      </c>
    </row>
    <row r="295" spans="1:4">
      <c r="A295" s="3" t="s">
        <v>311</v>
      </c>
      <c r="B295" s="4">
        <v>10</v>
      </c>
      <c r="C295" s="7">
        <v>7.4</v>
      </c>
      <c r="D295" s="3" t="s">
        <v>613</v>
      </c>
    </row>
    <row r="296" spans="1:4">
      <c r="A296" s="3" t="s">
        <v>312</v>
      </c>
      <c r="B296" s="4">
        <v>10</v>
      </c>
      <c r="C296" s="7">
        <v>7.8</v>
      </c>
      <c r="D296" s="3" t="s">
        <v>613</v>
      </c>
    </row>
    <row r="297" spans="1:4">
      <c r="A297" s="3" t="s">
        <v>313</v>
      </c>
      <c r="B297" s="4">
        <v>12</v>
      </c>
      <c r="C297" s="7">
        <v>9.8800000000000008</v>
      </c>
      <c r="D297" s="3" t="s">
        <v>613</v>
      </c>
    </row>
    <row r="298" spans="1:4">
      <c r="A298" s="3" t="s">
        <v>314</v>
      </c>
      <c r="B298" s="4">
        <v>15</v>
      </c>
      <c r="C298" s="7">
        <v>13.3</v>
      </c>
      <c r="D298" s="3" t="s">
        <v>613</v>
      </c>
    </row>
    <row r="299" spans="1:4">
      <c r="A299" s="3" t="s">
        <v>315</v>
      </c>
      <c r="B299" s="4">
        <v>15</v>
      </c>
      <c r="C299" s="7">
        <v>13.3</v>
      </c>
      <c r="D299" s="3" t="s">
        <v>613</v>
      </c>
    </row>
    <row r="300" spans="1:4">
      <c r="A300" s="3" t="s">
        <v>316</v>
      </c>
      <c r="B300" s="4">
        <v>25</v>
      </c>
      <c r="C300" s="7">
        <v>21.23</v>
      </c>
      <c r="D300" s="3" t="s">
        <v>613</v>
      </c>
    </row>
    <row r="301" spans="1:4">
      <c r="A301" s="3" t="s">
        <v>317</v>
      </c>
      <c r="B301" s="4">
        <v>25</v>
      </c>
      <c r="C301" s="7">
        <v>21.23</v>
      </c>
      <c r="D301" s="3" t="s">
        <v>613</v>
      </c>
    </row>
    <row r="302" spans="1:4">
      <c r="A302" s="3" t="s">
        <v>318</v>
      </c>
      <c r="B302" s="4">
        <v>18</v>
      </c>
      <c r="C302" s="7">
        <v>14.2</v>
      </c>
      <c r="D302" s="3" t="s">
        <v>613</v>
      </c>
    </row>
    <row r="303" spans="1:4">
      <c r="A303" s="3" t="s">
        <v>319</v>
      </c>
      <c r="B303" s="4">
        <v>18</v>
      </c>
      <c r="C303" s="7">
        <v>14.2</v>
      </c>
      <c r="D303" s="3" t="s">
        <v>613</v>
      </c>
    </row>
    <row r="304" spans="1:4">
      <c r="A304" s="3" t="s">
        <v>320</v>
      </c>
      <c r="B304" s="4">
        <v>15</v>
      </c>
      <c r="C304" s="7">
        <v>11.44</v>
      </c>
      <c r="D304" s="3" t="s">
        <v>613</v>
      </c>
    </row>
    <row r="305" spans="1:4">
      <c r="A305" s="3" t="s">
        <v>321</v>
      </c>
      <c r="B305" s="4">
        <v>15</v>
      </c>
      <c r="C305" s="7">
        <v>11.44</v>
      </c>
      <c r="D305" s="3" t="s">
        <v>613</v>
      </c>
    </row>
    <row r="306" spans="1:4">
      <c r="A306" s="3" t="s">
        <v>322</v>
      </c>
      <c r="B306" s="4">
        <v>130</v>
      </c>
      <c r="C306" s="7">
        <v>112.84</v>
      </c>
      <c r="D306" s="3" t="s">
        <v>613</v>
      </c>
    </row>
    <row r="307" spans="1:4">
      <c r="A307" s="3" t="s">
        <v>323</v>
      </c>
      <c r="B307" s="4">
        <v>130</v>
      </c>
      <c r="C307" s="7">
        <v>112.84</v>
      </c>
      <c r="D307" s="3" t="s">
        <v>613</v>
      </c>
    </row>
    <row r="308" spans="1:4">
      <c r="A308" s="3" t="s">
        <v>324</v>
      </c>
      <c r="B308" s="4">
        <v>130</v>
      </c>
      <c r="C308" s="7">
        <v>112.84</v>
      </c>
      <c r="D308" s="3" t="s">
        <v>613</v>
      </c>
    </row>
    <row r="309" spans="1:4">
      <c r="A309" s="3" t="s">
        <v>325</v>
      </c>
      <c r="B309" s="4">
        <v>220</v>
      </c>
      <c r="C309" s="7">
        <v>179.6</v>
      </c>
      <c r="D309" s="3" t="s">
        <v>613</v>
      </c>
    </row>
    <row r="310" spans="1:4">
      <c r="A310" s="3" t="s">
        <v>615</v>
      </c>
      <c r="B310" s="4">
        <v>20</v>
      </c>
      <c r="C310" s="7">
        <v>15.303724799999999</v>
      </c>
      <c r="D310" s="3" t="s">
        <v>614</v>
      </c>
    </row>
    <row r="311" spans="1:4">
      <c r="A311" s="3" t="s">
        <v>616</v>
      </c>
      <c r="B311" s="4">
        <v>20</v>
      </c>
      <c r="C311" s="7">
        <v>15.303724799999999</v>
      </c>
      <c r="D311" s="3" t="s">
        <v>614</v>
      </c>
    </row>
    <row r="312" spans="1:4">
      <c r="A312" s="3" t="s">
        <v>617</v>
      </c>
      <c r="B312" s="4">
        <v>25</v>
      </c>
      <c r="C312" s="7">
        <v>18.719937600000002</v>
      </c>
      <c r="D312" s="3" t="s">
        <v>614</v>
      </c>
    </row>
    <row r="313" spans="1:4">
      <c r="A313" s="3" t="s">
        <v>618</v>
      </c>
      <c r="B313" s="4">
        <v>25</v>
      </c>
      <c r="C313" s="7">
        <v>18.719937600000002</v>
      </c>
      <c r="D313" s="3" t="s">
        <v>614</v>
      </c>
    </row>
    <row r="314" spans="1:4">
      <c r="A314" s="3" t="s">
        <v>619</v>
      </c>
      <c r="B314" s="4">
        <v>35</v>
      </c>
      <c r="C314" s="7">
        <v>25.552799999999994</v>
      </c>
      <c r="D314" s="3" t="s">
        <v>614</v>
      </c>
    </row>
    <row r="315" spans="1:4">
      <c r="A315" s="3" t="s">
        <v>620</v>
      </c>
      <c r="B315" s="4">
        <v>25</v>
      </c>
      <c r="C315" s="7">
        <v>17.0352</v>
      </c>
      <c r="D315" s="3" t="s">
        <v>614</v>
      </c>
    </row>
    <row r="316" spans="1:4">
      <c r="A316" s="3" t="s">
        <v>621</v>
      </c>
      <c r="B316" s="4">
        <v>25</v>
      </c>
      <c r="C316" s="7">
        <v>17.0352</v>
      </c>
      <c r="D316" s="3" t="s">
        <v>614</v>
      </c>
    </row>
    <row r="317" spans="1:4">
      <c r="A317" s="3" t="s">
        <v>622</v>
      </c>
      <c r="B317" s="4">
        <v>25</v>
      </c>
      <c r="C317" s="7">
        <v>17.0352</v>
      </c>
      <c r="D317" s="3" t="s">
        <v>614</v>
      </c>
    </row>
    <row r="318" spans="1:4">
      <c r="A318" s="3" t="s">
        <v>623</v>
      </c>
      <c r="B318" s="4">
        <v>25</v>
      </c>
      <c r="C318" s="7">
        <v>17.0352</v>
      </c>
      <c r="D318" s="3" t="s">
        <v>614</v>
      </c>
    </row>
    <row r="319" spans="1:4">
      <c r="A319" s="3" t="s">
        <v>624</v>
      </c>
      <c r="B319" s="4">
        <v>15</v>
      </c>
      <c r="C319" s="7">
        <v>8.5081651199999992</v>
      </c>
      <c r="D319" s="3" t="s">
        <v>614</v>
      </c>
    </row>
    <row r="320" spans="1:4">
      <c r="A320" s="3" t="s">
        <v>625</v>
      </c>
      <c r="B320" s="4">
        <v>15</v>
      </c>
      <c r="C320" s="7">
        <v>8.5175999999999998</v>
      </c>
      <c r="D320" s="3" t="s">
        <v>614</v>
      </c>
    </row>
    <row r="321" spans="1:4">
      <c r="A321" s="3" t="s">
        <v>626</v>
      </c>
      <c r="B321" s="4">
        <v>15</v>
      </c>
      <c r="C321" s="7">
        <v>8.5175999999999998</v>
      </c>
      <c r="D321" s="3" t="s">
        <v>614</v>
      </c>
    </row>
    <row r="322" spans="1:4">
      <c r="A322" s="3" t="s">
        <v>327</v>
      </c>
      <c r="B322" s="4">
        <v>17</v>
      </c>
      <c r="C322" s="7">
        <v>13.88</v>
      </c>
      <c r="D322" s="3" t="s">
        <v>326</v>
      </c>
    </row>
    <row r="323" spans="1:4">
      <c r="A323" s="3" t="s">
        <v>328</v>
      </c>
      <c r="B323" s="4">
        <v>17</v>
      </c>
      <c r="C323" s="7">
        <v>13.88</v>
      </c>
      <c r="D323" s="3" t="s">
        <v>326</v>
      </c>
    </row>
    <row r="324" spans="1:4">
      <c r="A324" s="3" t="s">
        <v>329</v>
      </c>
      <c r="B324" s="4">
        <v>17</v>
      </c>
      <c r="C324" s="7">
        <v>13.88</v>
      </c>
      <c r="D324" s="3" t="s">
        <v>326</v>
      </c>
    </row>
    <row r="325" spans="1:4">
      <c r="A325" s="3" t="s">
        <v>330</v>
      </c>
      <c r="B325" s="4">
        <v>5</v>
      </c>
      <c r="C325" s="7">
        <f>150/48</f>
        <v>3.125</v>
      </c>
      <c r="D325" s="3" t="s">
        <v>326</v>
      </c>
    </row>
    <row r="326" spans="1:4">
      <c r="A326" s="3" t="s">
        <v>331</v>
      </c>
      <c r="B326" s="4">
        <v>30</v>
      </c>
      <c r="C326" s="7">
        <v>26.7</v>
      </c>
      <c r="D326" s="3" t="s">
        <v>326</v>
      </c>
    </row>
    <row r="327" spans="1:4">
      <c r="A327" s="3" t="s">
        <v>332</v>
      </c>
      <c r="B327" s="4">
        <v>17</v>
      </c>
      <c r="C327" s="7">
        <v>12.75</v>
      </c>
      <c r="D327" s="3" t="s">
        <v>326</v>
      </c>
    </row>
    <row r="328" spans="1:4">
      <c r="A328" s="3" t="s">
        <v>333</v>
      </c>
      <c r="B328" s="4">
        <v>17</v>
      </c>
      <c r="C328" s="7">
        <v>12.75</v>
      </c>
      <c r="D328" s="3" t="s">
        <v>326</v>
      </c>
    </row>
    <row r="329" spans="1:4">
      <c r="A329" s="3" t="s">
        <v>334</v>
      </c>
      <c r="B329" s="4">
        <v>17</v>
      </c>
      <c r="C329" s="7">
        <v>12.75</v>
      </c>
      <c r="D329" s="3" t="s">
        <v>326</v>
      </c>
    </row>
    <row r="330" spans="1:4">
      <c r="A330" s="3" t="s">
        <v>335</v>
      </c>
      <c r="B330" s="4">
        <v>17</v>
      </c>
      <c r="C330" s="7">
        <f>113.4/9</f>
        <v>12.600000000000001</v>
      </c>
      <c r="D330" s="3" t="s">
        <v>326</v>
      </c>
    </row>
    <row r="331" spans="1:4">
      <c r="A331" s="3" t="s">
        <v>336</v>
      </c>
      <c r="B331" s="4">
        <v>12</v>
      </c>
      <c r="C331" s="7">
        <v>10</v>
      </c>
      <c r="D331" s="3" t="s">
        <v>326</v>
      </c>
    </row>
    <row r="332" spans="1:4">
      <c r="A332" s="3" t="s">
        <v>337</v>
      </c>
      <c r="B332" s="4">
        <v>17</v>
      </c>
      <c r="C332" s="7">
        <f>113.4/9</f>
        <v>12.600000000000001</v>
      </c>
      <c r="D332" s="3" t="s">
        <v>326</v>
      </c>
    </row>
    <row r="333" spans="1:4">
      <c r="A333" s="3" t="s">
        <v>338</v>
      </c>
      <c r="B333" s="4">
        <v>30</v>
      </c>
      <c r="C333" s="7">
        <v>25.95</v>
      </c>
      <c r="D333" s="3" t="s">
        <v>326</v>
      </c>
    </row>
    <row r="334" spans="1:4">
      <c r="A334" s="3" t="s">
        <v>340</v>
      </c>
      <c r="B334" s="4">
        <v>20</v>
      </c>
      <c r="C334" s="7">
        <v>16.95</v>
      </c>
      <c r="D334" s="3" t="s">
        <v>339</v>
      </c>
    </row>
    <row r="335" spans="1:4">
      <c r="A335" s="3" t="s">
        <v>341</v>
      </c>
      <c r="B335" s="4">
        <v>60</v>
      </c>
      <c r="C335" s="7">
        <v>56.5</v>
      </c>
      <c r="D335" s="3" t="s">
        <v>339</v>
      </c>
    </row>
    <row r="336" spans="1:4">
      <c r="A336" s="3" t="s">
        <v>342</v>
      </c>
      <c r="B336" s="4">
        <v>30</v>
      </c>
      <c r="C336" s="7">
        <v>25</v>
      </c>
      <c r="D336" s="3" t="s">
        <v>339</v>
      </c>
    </row>
    <row r="337" spans="1:4">
      <c r="A337" s="3" t="s">
        <v>344</v>
      </c>
      <c r="B337" s="4">
        <v>13</v>
      </c>
      <c r="C337" s="7">
        <f>90/10</f>
        <v>9</v>
      </c>
      <c r="D337" s="3" t="s">
        <v>343</v>
      </c>
    </row>
    <row r="338" spans="1:4">
      <c r="A338" s="3" t="s">
        <v>345</v>
      </c>
      <c r="B338" s="4">
        <v>15</v>
      </c>
      <c r="C338" s="7">
        <v>11</v>
      </c>
      <c r="D338" s="3" t="s">
        <v>343</v>
      </c>
    </row>
    <row r="339" spans="1:4">
      <c r="A339" s="3" t="s">
        <v>347</v>
      </c>
      <c r="B339" s="4">
        <v>9</v>
      </c>
      <c r="C339" s="7">
        <v>7.8</v>
      </c>
      <c r="D339" s="3" t="s">
        <v>346</v>
      </c>
    </row>
    <row r="340" spans="1:4">
      <c r="A340" s="3" t="s">
        <v>348</v>
      </c>
      <c r="B340" s="4">
        <v>12</v>
      </c>
      <c r="C340" s="7">
        <v>8.6</v>
      </c>
      <c r="D340" s="3" t="s">
        <v>346</v>
      </c>
    </row>
    <row r="341" spans="1:4">
      <c r="A341" s="3" t="s">
        <v>349</v>
      </c>
      <c r="B341" s="4">
        <v>24</v>
      </c>
      <c r="C341" s="7">
        <v>17.5</v>
      </c>
      <c r="D341" s="3" t="s">
        <v>346</v>
      </c>
    </row>
    <row r="342" spans="1:4">
      <c r="A342" s="3" t="s">
        <v>350</v>
      </c>
      <c r="B342" s="4">
        <v>12</v>
      </c>
      <c r="C342" s="7">
        <f>99/12</f>
        <v>8.25</v>
      </c>
      <c r="D342" s="3" t="s">
        <v>346</v>
      </c>
    </row>
    <row r="343" spans="1:4">
      <c r="A343" s="3" t="s">
        <v>351</v>
      </c>
      <c r="B343" s="4">
        <v>14</v>
      </c>
      <c r="C343" s="7">
        <v>11.13</v>
      </c>
      <c r="D343" s="3" t="s">
        <v>346</v>
      </c>
    </row>
    <row r="344" spans="1:4">
      <c r="A344" s="3" t="s">
        <v>352</v>
      </c>
      <c r="B344" s="4">
        <v>45</v>
      </c>
      <c r="C344" s="7">
        <v>31</v>
      </c>
      <c r="D344" s="3" t="s">
        <v>346</v>
      </c>
    </row>
    <row r="345" spans="1:4">
      <c r="A345" s="3" t="s">
        <v>353</v>
      </c>
      <c r="B345" s="4">
        <v>35</v>
      </c>
      <c r="C345" s="7">
        <v>25.65</v>
      </c>
      <c r="D345" s="3" t="s">
        <v>346</v>
      </c>
    </row>
    <row r="346" spans="1:4">
      <c r="A346" s="3" t="s">
        <v>355</v>
      </c>
      <c r="B346" s="4">
        <v>20</v>
      </c>
      <c r="C346" s="7">
        <f>91.5/6</f>
        <v>15.25</v>
      </c>
      <c r="D346" s="3" t="s">
        <v>354</v>
      </c>
    </row>
    <row r="347" spans="1:4">
      <c r="A347" s="3" t="s">
        <v>356</v>
      </c>
      <c r="B347" s="4">
        <v>10</v>
      </c>
      <c r="C347" s="7">
        <v>7.1</v>
      </c>
      <c r="D347" s="3" t="s">
        <v>354</v>
      </c>
    </row>
    <row r="348" spans="1:4">
      <c r="A348" s="3" t="s">
        <v>357</v>
      </c>
      <c r="B348" s="4">
        <v>22</v>
      </c>
      <c r="C348" s="7">
        <v>15</v>
      </c>
      <c r="D348" s="3" t="s">
        <v>354</v>
      </c>
    </row>
    <row r="349" spans="1:4">
      <c r="A349" s="3" t="s">
        <v>358</v>
      </c>
      <c r="B349" s="4">
        <v>18</v>
      </c>
      <c r="C349" s="7">
        <v>13.65</v>
      </c>
      <c r="D349" s="3" t="s">
        <v>354</v>
      </c>
    </row>
    <row r="350" spans="1:4">
      <c r="A350" s="3" t="s">
        <v>359</v>
      </c>
      <c r="B350" s="4">
        <v>9</v>
      </c>
      <c r="C350" s="7">
        <v>5.71</v>
      </c>
      <c r="D350" s="3" t="s">
        <v>354</v>
      </c>
    </row>
    <row r="351" spans="1:4">
      <c r="A351" s="3" t="s">
        <v>360</v>
      </c>
      <c r="B351" s="4">
        <v>9</v>
      </c>
      <c r="C351" s="7">
        <v>6</v>
      </c>
      <c r="D351" s="3" t="s">
        <v>354</v>
      </c>
    </row>
    <row r="352" spans="1:4">
      <c r="A352" s="3" t="s">
        <v>361</v>
      </c>
      <c r="B352" s="4">
        <v>9</v>
      </c>
      <c r="C352" s="7">
        <v>6</v>
      </c>
      <c r="D352" s="3" t="s">
        <v>354</v>
      </c>
    </row>
    <row r="353" spans="1:4">
      <c r="A353" s="3" t="s">
        <v>362</v>
      </c>
      <c r="B353" s="4">
        <v>9</v>
      </c>
      <c r="C353" s="7">
        <v>6</v>
      </c>
      <c r="D353" s="3" t="s">
        <v>354</v>
      </c>
    </row>
    <row r="354" spans="1:4">
      <c r="A354" s="3" t="s">
        <v>363</v>
      </c>
      <c r="B354" s="4">
        <v>9</v>
      </c>
      <c r="C354" s="7">
        <v>6</v>
      </c>
      <c r="D354" s="3" t="s">
        <v>354</v>
      </c>
    </row>
    <row r="355" spans="1:4">
      <c r="A355" s="3" t="s">
        <v>364</v>
      </c>
      <c r="B355" s="4">
        <v>13</v>
      </c>
      <c r="C355" s="7">
        <v>10.25</v>
      </c>
      <c r="D355" s="3" t="s">
        <v>354</v>
      </c>
    </row>
    <row r="356" spans="1:4">
      <c r="A356" s="3" t="s">
        <v>365</v>
      </c>
      <c r="B356" s="4">
        <v>27</v>
      </c>
      <c r="C356" s="7">
        <v>17.5</v>
      </c>
      <c r="D356" s="3" t="s">
        <v>354</v>
      </c>
    </row>
    <row r="357" spans="1:4">
      <c r="A357" s="3" t="s">
        <v>366</v>
      </c>
      <c r="B357" s="4">
        <v>40</v>
      </c>
      <c r="C357" s="7">
        <v>26</v>
      </c>
      <c r="D357" s="3" t="s">
        <v>354</v>
      </c>
    </row>
    <row r="358" spans="1:4">
      <c r="A358" s="3" t="s">
        <v>367</v>
      </c>
      <c r="B358" s="4">
        <v>20</v>
      </c>
      <c r="C358" s="7">
        <v>15.5</v>
      </c>
      <c r="D358" s="3" t="s">
        <v>354</v>
      </c>
    </row>
    <row r="359" spans="1:4">
      <c r="A359" s="3" t="s">
        <v>368</v>
      </c>
      <c r="B359" s="4">
        <v>20</v>
      </c>
      <c r="C359" s="7">
        <v>15.25</v>
      </c>
      <c r="D359" s="3" t="s">
        <v>354</v>
      </c>
    </row>
    <row r="360" spans="1:4">
      <c r="A360" s="3" t="s">
        <v>369</v>
      </c>
      <c r="B360" s="4">
        <v>50</v>
      </c>
      <c r="C360" s="7">
        <v>37.5</v>
      </c>
      <c r="D360" s="3" t="s">
        <v>354</v>
      </c>
    </row>
    <row r="361" spans="1:4">
      <c r="A361" s="3" t="s">
        <v>370</v>
      </c>
      <c r="B361" s="4">
        <v>5</v>
      </c>
      <c r="C361" s="7">
        <f>63/18</f>
        <v>3.5</v>
      </c>
      <c r="D361" s="3" t="s">
        <v>354</v>
      </c>
    </row>
    <row r="362" spans="1:4">
      <c r="A362" s="3" t="s">
        <v>371</v>
      </c>
      <c r="B362" s="4">
        <v>7</v>
      </c>
      <c r="C362" s="7">
        <f>79.75/16</f>
        <v>4.984375</v>
      </c>
      <c r="D362" s="3" t="s">
        <v>354</v>
      </c>
    </row>
    <row r="363" spans="1:4">
      <c r="A363" s="3" t="s">
        <v>372</v>
      </c>
      <c r="B363" s="4">
        <v>14</v>
      </c>
      <c r="C363" s="7">
        <f>79.1/7</f>
        <v>11.299999999999999</v>
      </c>
      <c r="D363" s="3" t="s">
        <v>354</v>
      </c>
    </row>
    <row r="364" spans="1:4">
      <c r="A364" s="3" t="s">
        <v>373</v>
      </c>
      <c r="B364" s="4">
        <v>30</v>
      </c>
      <c r="C364" s="7"/>
      <c r="D364" s="3" t="s">
        <v>354</v>
      </c>
    </row>
    <row r="365" spans="1:4">
      <c r="A365" s="3" t="s">
        <v>374</v>
      </c>
      <c r="B365" s="4">
        <v>10</v>
      </c>
      <c r="C365" s="7">
        <f>80.75/12</f>
        <v>6.729166666666667</v>
      </c>
      <c r="D365" s="3" t="s">
        <v>354</v>
      </c>
    </row>
    <row r="366" spans="1:4">
      <c r="A366" s="3" t="s">
        <v>375</v>
      </c>
      <c r="B366" s="4">
        <v>15</v>
      </c>
      <c r="C366" s="7">
        <f>114/12</f>
        <v>9.5</v>
      </c>
      <c r="D366" s="3" t="s">
        <v>354</v>
      </c>
    </row>
    <row r="367" spans="1:4">
      <c r="A367" s="3" t="s">
        <v>376</v>
      </c>
      <c r="B367" s="4">
        <v>10</v>
      </c>
      <c r="C367" s="7">
        <v>7</v>
      </c>
      <c r="D367" s="3" t="s">
        <v>354</v>
      </c>
    </row>
    <row r="368" spans="1:4">
      <c r="A368" s="3" t="s">
        <v>377</v>
      </c>
      <c r="B368" s="4">
        <v>20</v>
      </c>
      <c r="C368" s="7">
        <v>16.75</v>
      </c>
      <c r="D368" s="3" t="s">
        <v>354</v>
      </c>
    </row>
    <row r="369" spans="1:4">
      <c r="A369" s="3" t="s">
        <v>378</v>
      </c>
      <c r="B369" s="4">
        <v>22</v>
      </c>
      <c r="C369" s="7">
        <v>16.75</v>
      </c>
      <c r="D369" s="3" t="s">
        <v>354</v>
      </c>
    </row>
    <row r="370" spans="1:4">
      <c r="A370" s="3" t="s">
        <v>379</v>
      </c>
      <c r="B370" s="4">
        <v>24</v>
      </c>
      <c r="C370" s="7">
        <v>18.5</v>
      </c>
      <c r="D370" s="3" t="s">
        <v>354</v>
      </c>
    </row>
    <row r="371" spans="1:4">
      <c r="A371" s="3" t="s">
        <v>380</v>
      </c>
      <c r="B371" s="4">
        <v>3</v>
      </c>
      <c r="C371" s="7">
        <f>9/10</f>
        <v>0.9</v>
      </c>
      <c r="D371" s="3" t="s">
        <v>354</v>
      </c>
    </row>
    <row r="372" spans="1:4">
      <c r="A372" s="3" t="s">
        <v>381</v>
      </c>
      <c r="B372" s="4">
        <v>3</v>
      </c>
      <c r="C372" s="7">
        <f>11.95/10</f>
        <v>1.1949999999999998</v>
      </c>
      <c r="D372" s="3" t="s">
        <v>354</v>
      </c>
    </row>
    <row r="373" spans="1:4">
      <c r="A373" s="3" t="s">
        <v>382</v>
      </c>
      <c r="B373" s="4">
        <v>3</v>
      </c>
      <c r="C373" s="7">
        <f>11.95/10</f>
        <v>1.1949999999999998</v>
      </c>
      <c r="D373" s="3" t="s">
        <v>354</v>
      </c>
    </row>
    <row r="374" spans="1:4">
      <c r="A374" s="3" t="s">
        <v>383</v>
      </c>
      <c r="B374" s="4">
        <v>3</v>
      </c>
      <c r="C374" s="7">
        <f>11.95/10</f>
        <v>1.1949999999999998</v>
      </c>
      <c r="D374" s="3" t="s">
        <v>354</v>
      </c>
    </row>
    <row r="375" spans="1:4">
      <c r="A375" s="3" t="s">
        <v>384</v>
      </c>
      <c r="B375" s="4">
        <v>10</v>
      </c>
      <c r="C375" s="7">
        <v>5.78</v>
      </c>
      <c r="D375" s="3" t="s">
        <v>354</v>
      </c>
    </row>
    <row r="376" spans="1:4">
      <c r="A376" s="3" t="s">
        <v>385</v>
      </c>
      <c r="B376" s="4">
        <v>20</v>
      </c>
      <c r="C376" s="7">
        <v>12</v>
      </c>
      <c r="D376" s="3" t="s">
        <v>354</v>
      </c>
    </row>
    <row r="377" spans="1:4">
      <c r="A377" s="3" t="s">
        <v>386</v>
      </c>
      <c r="B377" s="4">
        <v>23</v>
      </c>
      <c r="C377" s="7">
        <v>17.899999999999999</v>
      </c>
      <c r="D377" s="3" t="s">
        <v>354</v>
      </c>
    </row>
    <row r="378" spans="1:4">
      <c r="A378" s="3" t="s">
        <v>387</v>
      </c>
      <c r="B378" s="4">
        <v>15</v>
      </c>
      <c r="C378" s="7">
        <v>13</v>
      </c>
      <c r="D378" s="3" t="s">
        <v>354</v>
      </c>
    </row>
    <row r="379" spans="1:4">
      <c r="A379" s="3" t="s">
        <v>388</v>
      </c>
      <c r="B379" s="4">
        <v>38</v>
      </c>
      <c r="C379" s="7">
        <v>33.25</v>
      </c>
      <c r="D379" s="3" t="s">
        <v>354</v>
      </c>
    </row>
    <row r="380" spans="1:4" ht="15.75">
      <c r="A380" s="3" t="s">
        <v>389</v>
      </c>
      <c r="B380" s="4">
        <v>45</v>
      </c>
      <c r="C380" s="8"/>
      <c r="D380" s="3" t="s">
        <v>354</v>
      </c>
    </row>
    <row r="381" spans="1:4" ht="15.75">
      <c r="A381" s="3" t="s">
        <v>390</v>
      </c>
      <c r="B381" s="4">
        <v>17</v>
      </c>
      <c r="C381" s="8"/>
      <c r="D381" s="3" t="s">
        <v>354</v>
      </c>
    </row>
    <row r="382" spans="1:4">
      <c r="A382" s="3" t="s">
        <v>391</v>
      </c>
      <c r="B382" s="4">
        <v>10</v>
      </c>
      <c r="C382" s="7">
        <v>9</v>
      </c>
      <c r="D382" s="3" t="s">
        <v>354</v>
      </c>
    </row>
    <row r="383" spans="1:4">
      <c r="A383" s="3" t="s">
        <v>392</v>
      </c>
      <c r="B383" s="4">
        <v>8</v>
      </c>
      <c r="C383" s="7">
        <v>7</v>
      </c>
      <c r="D383" s="3" t="s">
        <v>354</v>
      </c>
    </row>
    <row r="384" spans="1:4">
      <c r="A384" s="3" t="s">
        <v>393</v>
      </c>
      <c r="B384" s="4">
        <v>7</v>
      </c>
      <c r="C384" s="7">
        <v>6</v>
      </c>
      <c r="D384" s="3" t="s">
        <v>354</v>
      </c>
    </row>
    <row r="385" spans="1:4">
      <c r="A385" s="3" t="s">
        <v>394</v>
      </c>
      <c r="B385" s="4">
        <v>5</v>
      </c>
      <c r="C385" s="7">
        <v>4</v>
      </c>
      <c r="D385" s="3" t="s">
        <v>354</v>
      </c>
    </row>
    <row r="386" spans="1:4">
      <c r="A386" s="3" t="s">
        <v>395</v>
      </c>
      <c r="B386" s="4">
        <v>3</v>
      </c>
      <c r="C386" s="7">
        <v>2</v>
      </c>
      <c r="D386" s="3" t="s">
        <v>354</v>
      </c>
    </row>
    <row r="387" spans="1:4">
      <c r="A387" s="3" t="s">
        <v>397</v>
      </c>
      <c r="B387" s="4">
        <v>26</v>
      </c>
      <c r="C387" s="7">
        <v>21</v>
      </c>
      <c r="D387" s="3" t="s">
        <v>396</v>
      </c>
    </row>
    <row r="388" spans="1:4">
      <c r="A388" s="3" t="s">
        <v>398</v>
      </c>
      <c r="B388" s="4">
        <v>32</v>
      </c>
      <c r="C388" s="7">
        <v>28</v>
      </c>
      <c r="D388" s="3" t="s">
        <v>396</v>
      </c>
    </row>
    <row r="389" spans="1:4">
      <c r="A389" s="3" t="s">
        <v>399</v>
      </c>
      <c r="B389" s="4">
        <v>32</v>
      </c>
      <c r="C389" s="7">
        <v>28</v>
      </c>
      <c r="D389" s="3" t="s">
        <v>396</v>
      </c>
    </row>
    <row r="390" spans="1:4">
      <c r="A390" s="3" t="s">
        <v>400</v>
      </c>
      <c r="B390" s="4">
        <v>35</v>
      </c>
      <c r="C390" s="7">
        <f>59.5/2</f>
        <v>29.75</v>
      </c>
      <c r="D390" s="3" t="s">
        <v>396</v>
      </c>
    </row>
    <row r="391" spans="1:4">
      <c r="A391" s="3" t="s">
        <v>401</v>
      </c>
      <c r="B391" s="4">
        <v>32</v>
      </c>
      <c r="C391" s="7">
        <v>28.9</v>
      </c>
      <c r="D391" s="3" t="s">
        <v>396</v>
      </c>
    </row>
    <row r="392" spans="1:4">
      <c r="A392" s="3" t="s">
        <v>402</v>
      </c>
      <c r="B392" s="4">
        <v>36</v>
      </c>
      <c r="C392" s="7">
        <v>31</v>
      </c>
      <c r="D392" s="3" t="s">
        <v>396</v>
      </c>
    </row>
    <row r="393" spans="1:4">
      <c r="A393" s="3" t="s">
        <v>403</v>
      </c>
      <c r="B393" s="4">
        <v>43</v>
      </c>
      <c r="C393" s="7">
        <v>37.5</v>
      </c>
      <c r="D393" s="3" t="s">
        <v>396</v>
      </c>
    </row>
    <row r="394" spans="1:4">
      <c r="A394" s="3" t="s">
        <v>404</v>
      </c>
      <c r="B394" s="4">
        <v>43</v>
      </c>
      <c r="C394" s="7">
        <v>37.5</v>
      </c>
      <c r="D394" s="3" t="s">
        <v>396</v>
      </c>
    </row>
    <row r="395" spans="1:4">
      <c r="A395" s="3" t="s">
        <v>405</v>
      </c>
      <c r="B395" s="4">
        <v>65</v>
      </c>
      <c r="C395" s="7">
        <v>57.5</v>
      </c>
      <c r="D395" s="3" t="s">
        <v>396</v>
      </c>
    </row>
    <row r="396" spans="1:4">
      <c r="A396" s="3" t="s">
        <v>406</v>
      </c>
      <c r="B396" s="4">
        <v>110</v>
      </c>
      <c r="C396" s="7">
        <v>97</v>
      </c>
      <c r="D396" s="3" t="s">
        <v>396</v>
      </c>
    </row>
    <row r="397" spans="1:4">
      <c r="A397" s="3" t="s">
        <v>407</v>
      </c>
      <c r="B397" s="4">
        <v>125</v>
      </c>
      <c r="C397" s="7">
        <v>110.75</v>
      </c>
      <c r="D397" s="3" t="s">
        <v>396</v>
      </c>
    </row>
    <row r="398" spans="1:4">
      <c r="A398" s="3" t="s">
        <v>408</v>
      </c>
      <c r="B398" s="4">
        <v>45</v>
      </c>
      <c r="C398" s="7">
        <v>36.1</v>
      </c>
      <c r="D398" s="3" t="s">
        <v>396</v>
      </c>
    </row>
    <row r="399" spans="1:4">
      <c r="A399" s="3" t="s">
        <v>409</v>
      </c>
      <c r="B399" s="4">
        <v>40</v>
      </c>
      <c r="C399" s="7">
        <v>24</v>
      </c>
      <c r="D399" s="3" t="s">
        <v>396</v>
      </c>
    </row>
    <row r="400" spans="1:4">
      <c r="A400" s="3" t="s">
        <v>410</v>
      </c>
      <c r="B400" s="4">
        <v>40</v>
      </c>
      <c r="C400" s="7">
        <v>25</v>
      </c>
      <c r="D400" s="3" t="s">
        <v>396</v>
      </c>
    </row>
    <row r="401" spans="1:4">
      <c r="A401" s="3" t="s">
        <v>411</v>
      </c>
      <c r="B401" s="4">
        <v>55</v>
      </c>
      <c r="C401" s="7">
        <v>46</v>
      </c>
      <c r="D401" s="3" t="s">
        <v>396</v>
      </c>
    </row>
    <row r="402" spans="1:4">
      <c r="A402" s="3" t="s">
        <v>412</v>
      </c>
      <c r="B402" s="4">
        <v>90</v>
      </c>
      <c r="C402" s="7">
        <v>86</v>
      </c>
      <c r="D402" s="3" t="s">
        <v>396</v>
      </c>
    </row>
    <row r="403" spans="1:4">
      <c r="A403" s="3" t="s">
        <v>413</v>
      </c>
      <c r="B403" s="4">
        <v>40</v>
      </c>
      <c r="C403" s="7">
        <v>35.5</v>
      </c>
      <c r="D403" s="3" t="s">
        <v>396</v>
      </c>
    </row>
    <row r="404" spans="1:4">
      <c r="A404" s="3" t="s">
        <v>414</v>
      </c>
      <c r="B404" s="4">
        <v>40</v>
      </c>
      <c r="C404" s="7">
        <v>35.950000000000003</v>
      </c>
      <c r="D404" s="3" t="s">
        <v>396</v>
      </c>
    </row>
    <row r="405" spans="1:4">
      <c r="A405" s="3" t="s">
        <v>415</v>
      </c>
      <c r="B405" s="4">
        <v>110</v>
      </c>
      <c r="C405" s="7">
        <f>188/2</f>
        <v>94</v>
      </c>
      <c r="D405" s="3" t="s">
        <v>396</v>
      </c>
    </row>
    <row r="406" spans="1:4">
      <c r="A406" s="3" t="s">
        <v>416</v>
      </c>
      <c r="B406" s="4">
        <v>100</v>
      </c>
      <c r="C406" s="7">
        <v>86</v>
      </c>
      <c r="D406" s="3" t="s">
        <v>396</v>
      </c>
    </row>
    <row r="407" spans="1:4">
      <c r="A407" s="3" t="s">
        <v>417</v>
      </c>
      <c r="B407" s="4">
        <v>30</v>
      </c>
      <c r="C407" s="7">
        <v>24.75</v>
      </c>
      <c r="D407" s="3" t="s">
        <v>396</v>
      </c>
    </row>
    <row r="408" spans="1:4">
      <c r="A408" s="3" t="s">
        <v>418</v>
      </c>
      <c r="B408" s="4">
        <v>30</v>
      </c>
      <c r="C408" s="7">
        <f>120/5</f>
        <v>24</v>
      </c>
      <c r="D408" s="3" t="s">
        <v>396</v>
      </c>
    </row>
    <row r="409" spans="1:4">
      <c r="A409" s="3" t="s">
        <v>419</v>
      </c>
      <c r="B409" s="4">
        <v>28</v>
      </c>
      <c r="C409" s="7">
        <v>23.3</v>
      </c>
      <c r="D409" s="3" t="s">
        <v>396</v>
      </c>
    </row>
    <row r="410" spans="1:4">
      <c r="A410" s="3" t="s">
        <v>420</v>
      </c>
      <c r="B410" s="4">
        <v>28</v>
      </c>
      <c r="C410" s="7">
        <f>112.25/5</f>
        <v>22.45</v>
      </c>
      <c r="D410" s="3" t="s">
        <v>396</v>
      </c>
    </row>
    <row r="411" spans="1:4">
      <c r="A411" s="3" t="s">
        <v>421</v>
      </c>
      <c r="B411" s="4">
        <v>40</v>
      </c>
      <c r="C411" s="7">
        <v>35</v>
      </c>
      <c r="D411" s="3" t="s">
        <v>396</v>
      </c>
    </row>
    <row r="412" spans="1:4">
      <c r="A412" s="3" t="s">
        <v>423</v>
      </c>
      <c r="B412" s="4">
        <v>8</v>
      </c>
      <c r="C412" s="7">
        <v>5</v>
      </c>
      <c r="D412" s="3" t="s">
        <v>422</v>
      </c>
    </row>
    <row r="413" spans="1:4">
      <c r="A413" s="3" t="s">
        <v>425</v>
      </c>
      <c r="B413" s="4">
        <v>16</v>
      </c>
      <c r="C413" s="7">
        <v>12.95</v>
      </c>
      <c r="D413" s="3" t="s">
        <v>424</v>
      </c>
    </row>
    <row r="414" spans="1:4">
      <c r="A414" s="3" t="s">
        <v>426</v>
      </c>
      <c r="B414" s="4">
        <v>16</v>
      </c>
      <c r="C414" s="7">
        <v>12.95</v>
      </c>
      <c r="D414" s="3" t="s">
        <v>424</v>
      </c>
    </row>
    <row r="415" spans="1:4">
      <c r="A415" s="3" t="s">
        <v>427</v>
      </c>
      <c r="B415" s="4">
        <v>16</v>
      </c>
      <c r="C415" s="7">
        <v>11.45</v>
      </c>
      <c r="D415" s="3" t="s">
        <v>424</v>
      </c>
    </row>
    <row r="416" spans="1:4">
      <c r="A416" s="3" t="s">
        <v>428</v>
      </c>
      <c r="B416" s="4">
        <v>16</v>
      </c>
      <c r="C416" s="7">
        <v>11.9</v>
      </c>
      <c r="D416" s="3" t="s">
        <v>424</v>
      </c>
    </row>
    <row r="417" spans="1:4">
      <c r="A417" s="3" t="s">
        <v>429</v>
      </c>
      <c r="B417" s="4">
        <v>22</v>
      </c>
      <c r="C417" s="7">
        <v>20</v>
      </c>
      <c r="D417" s="3" t="s">
        <v>424</v>
      </c>
    </row>
    <row r="418" spans="1:4">
      <c r="A418" s="3" t="s">
        <v>431</v>
      </c>
      <c r="B418" s="4">
        <v>10</v>
      </c>
      <c r="C418" s="7">
        <f>260/30</f>
        <v>8.6666666666666661</v>
      </c>
      <c r="D418" s="3" t="s">
        <v>430</v>
      </c>
    </row>
    <row r="419" spans="1:4">
      <c r="A419" s="3" t="s">
        <v>432</v>
      </c>
      <c r="B419" s="4">
        <v>9</v>
      </c>
      <c r="C419" s="7">
        <f>220/30</f>
        <v>7.333333333333333</v>
      </c>
      <c r="D419" s="3" t="s">
        <v>430</v>
      </c>
    </row>
    <row r="420" spans="1:4">
      <c r="A420" s="3" t="s">
        <v>433</v>
      </c>
      <c r="B420" s="4">
        <v>18</v>
      </c>
      <c r="C420" s="7">
        <v>15</v>
      </c>
      <c r="D420" s="3" t="s">
        <v>430</v>
      </c>
    </row>
    <row r="421" spans="1:4">
      <c r="A421" s="3" t="s">
        <v>435</v>
      </c>
      <c r="B421" s="4">
        <v>45</v>
      </c>
      <c r="C421" s="7">
        <v>28.210526315789476</v>
      </c>
      <c r="D421" s="3" t="s">
        <v>434</v>
      </c>
    </row>
    <row r="422" spans="1:4">
      <c r="A422" s="3" t="s">
        <v>436</v>
      </c>
      <c r="B422" s="4">
        <v>40</v>
      </c>
      <c r="C422" s="7">
        <f>C423*2</f>
        <v>28.210526315789476</v>
      </c>
      <c r="D422" s="3" t="s">
        <v>434</v>
      </c>
    </row>
    <row r="423" spans="1:4">
      <c r="A423" s="3" t="s">
        <v>437</v>
      </c>
      <c r="B423" s="4">
        <v>25</v>
      </c>
      <c r="C423" s="7">
        <v>14.105263157894738</v>
      </c>
      <c r="D423" s="3" t="s">
        <v>434</v>
      </c>
    </row>
    <row r="424" spans="1:4">
      <c r="A424" s="3" t="s">
        <v>438</v>
      </c>
      <c r="B424" s="4">
        <v>10</v>
      </c>
      <c r="C424" s="7">
        <v>7.052631578947369</v>
      </c>
      <c r="D424" s="3" t="s">
        <v>434</v>
      </c>
    </row>
    <row r="425" spans="1:4">
      <c r="A425" s="3" t="s">
        <v>627</v>
      </c>
      <c r="B425" s="4">
        <v>55</v>
      </c>
      <c r="C425" s="7">
        <v>50</v>
      </c>
      <c r="D425" s="3" t="s">
        <v>439</v>
      </c>
    </row>
    <row r="426" spans="1:4">
      <c r="A426" s="3" t="s">
        <v>441</v>
      </c>
      <c r="B426" s="4">
        <v>20</v>
      </c>
      <c r="C426" s="7">
        <v>17</v>
      </c>
      <c r="D426" s="3" t="s">
        <v>440</v>
      </c>
    </row>
    <row r="427" spans="1:4">
      <c r="A427" s="3" t="s">
        <v>442</v>
      </c>
      <c r="B427" s="4">
        <v>40</v>
      </c>
      <c r="C427" s="7">
        <v>32</v>
      </c>
      <c r="D427" s="3" t="s">
        <v>440</v>
      </c>
    </row>
    <row r="428" spans="1:4">
      <c r="A428" s="3" t="s">
        <v>443</v>
      </c>
      <c r="B428" s="4">
        <v>18</v>
      </c>
      <c r="C428" s="7">
        <v>16</v>
      </c>
      <c r="D428" s="3" t="s">
        <v>440</v>
      </c>
    </row>
    <row r="429" spans="1:4">
      <c r="A429" s="3" t="s">
        <v>444</v>
      </c>
      <c r="B429" s="4">
        <v>36</v>
      </c>
      <c r="C429" s="7">
        <v>29</v>
      </c>
      <c r="D429" s="3" t="s">
        <v>440</v>
      </c>
    </row>
    <row r="430" spans="1:4">
      <c r="A430" s="3" t="s">
        <v>445</v>
      </c>
      <c r="B430" s="4">
        <v>27</v>
      </c>
      <c r="C430" s="7">
        <v>19</v>
      </c>
      <c r="D430" s="3" t="s">
        <v>440</v>
      </c>
    </row>
    <row r="431" spans="1:4">
      <c r="A431" s="3" t="s">
        <v>447</v>
      </c>
      <c r="B431" s="4">
        <v>15</v>
      </c>
      <c r="C431" s="7">
        <v>7</v>
      </c>
      <c r="D431" s="3" t="s">
        <v>446</v>
      </c>
    </row>
    <row r="432" spans="1:4">
      <c r="A432" s="3" t="s">
        <v>449</v>
      </c>
      <c r="B432" s="4">
        <v>9</v>
      </c>
      <c r="C432" s="7">
        <f>61/10</f>
        <v>6.1</v>
      </c>
      <c r="D432" s="3" t="s">
        <v>448</v>
      </c>
    </row>
    <row r="433" spans="1:4">
      <c r="A433" s="3" t="s">
        <v>450</v>
      </c>
      <c r="B433" s="4">
        <v>6</v>
      </c>
      <c r="C433" s="7">
        <f>67.5/24</f>
        <v>2.8125</v>
      </c>
      <c r="D433" s="3" t="s">
        <v>448</v>
      </c>
    </row>
    <row r="434" spans="1:4">
      <c r="A434" s="3" t="s">
        <v>451</v>
      </c>
      <c r="B434" s="4">
        <v>6</v>
      </c>
      <c r="C434" s="7">
        <f>19.5/8</f>
        <v>2.4375</v>
      </c>
      <c r="D434" s="3" t="s">
        <v>448</v>
      </c>
    </row>
    <row r="435" spans="1:4">
      <c r="A435" s="3" t="s">
        <v>452</v>
      </c>
      <c r="B435" s="4">
        <v>5</v>
      </c>
      <c r="C435" s="7">
        <f>58/20</f>
        <v>2.9</v>
      </c>
      <c r="D435" s="3" t="s">
        <v>448</v>
      </c>
    </row>
    <row r="436" spans="1:4">
      <c r="A436" s="3" t="s">
        <v>454</v>
      </c>
      <c r="B436" s="4">
        <v>10</v>
      </c>
      <c r="C436" s="7">
        <v>5.74</v>
      </c>
      <c r="D436" s="3" t="s">
        <v>453</v>
      </c>
    </row>
    <row r="437" spans="1:4">
      <c r="A437" s="3" t="s">
        <v>456</v>
      </c>
      <c r="B437" s="4">
        <v>10</v>
      </c>
      <c r="C437" s="7">
        <v>7.25</v>
      </c>
      <c r="D437" s="3" t="s">
        <v>455</v>
      </c>
    </row>
    <row r="438" spans="1:4">
      <c r="A438" s="3" t="s">
        <v>457</v>
      </c>
      <c r="B438" s="4">
        <v>10</v>
      </c>
      <c r="C438" s="7">
        <v>7.25</v>
      </c>
      <c r="D438" s="3" t="s">
        <v>455</v>
      </c>
    </row>
    <row r="439" spans="1:4">
      <c r="A439" s="3" t="s">
        <v>458</v>
      </c>
      <c r="B439" s="4">
        <v>10</v>
      </c>
      <c r="C439" s="7">
        <v>7.25</v>
      </c>
      <c r="D439" s="3" t="s">
        <v>455</v>
      </c>
    </row>
    <row r="440" spans="1:4">
      <c r="A440" s="3" t="s">
        <v>459</v>
      </c>
      <c r="B440" s="4">
        <v>10</v>
      </c>
      <c r="C440" s="7">
        <v>7.25</v>
      </c>
      <c r="D440" s="3" t="s">
        <v>455</v>
      </c>
    </row>
    <row r="441" spans="1:4">
      <c r="A441" s="3" t="s">
        <v>460</v>
      </c>
      <c r="B441" s="4">
        <v>10</v>
      </c>
      <c r="C441" s="7">
        <v>7.24</v>
      </c>
      <c r="D441" s="3" t="s">
        <v>455</v>
      </c>
    </row>
    <row r="442" spans="1:4">
      <c r="A442" s="3" t="s">
        <v>462</v>
      </c>
      <c r="B442" s="4">
        <v>9</v>
      </c>
      <c r="C442" s="7">
        <f>6.74</f>
        <v>6.74</v>
      </c>
      <c r="D442" s="3" t="s">
        <v>461</v>
      </c>
    </row>
    <row r="443" spans="1:4">
      <c r="A443" s="3" t="s">
        <v>463</v>
      </c>
      <c r="B443" s="4">
        <v>10</v>
      </c>
      <c r="C443" s="7">
        <v>7</v>
      </c>
      <c r="D443" s="3" t="s">
        <v>461</v>
      </c>
    </row>
    <row r="444" spans="1:4">
      <c r="A444" s="3" t="s">
        <v>464</v>
      </c>
      <c r="B444" s="4">
        <v>10</v>
      </c>
      <c r="C444" s="7">
        <v>6.75</v>
      </c>
      <c r="D444" s="3" t="s">
        <v>461</v>
      </c>
    </row>
    <row r="445" spans="1:4">
      <c r="A445" s="3" t="s">
        <v>465</v>
      </c>
      <c r="B445" s="4">
        <v>14</v>
      </c>
      <c r="C445" s="7">
        <v>11</v>
      </c>
      <c r="D445" s="3" t="s">
        <v>461</v>
      </c>
    </row>
    <row r="446" spans="1:4">
      <c r="A446" s="3" t="s">
        <v>466</v>
      </c>
      <c r="B446" s="4">
        <v>14</v>
      </c>
      <c r="C446" s="7">
        <v>11</v>
      </c>
      <c r="D446" s="3" t="s">
        <v>461</v>
      </c>
    </row>
    <row r="447" spans="1:4">
      <c r="A447" s="3" t="s">
        <v>467</v>
      </c>
      <c r="B447" s="4">
        <v>18</v>
      </c>
      <c r="C447" s="7">
        <v>15.5</v>
      </c>
      <c r="D447" s="3" t="s">
        <v>461</v>
      </c>
    </row>
    <row r="448" spans="1:4">
      <c r="A448" s="3" t="s">
        <v>468</v>
      </c>
      <c r="B448" s="4">
        <v>18</v>
      </c>
      <c r="C448" s="7">
        <v>15.5</v>
      </c>
      <c r="D448" s="3" t="s">
        <v>461</v>
      </c>
    </row>
    <row r="449" spans="1:4">
      <c r="A449" s="3" t="s">
        <v>469</v>
      </c>
      <c r="B449" s="4">
        <v>8</v>
      </c>
      <c r="C449" s="7">
        <v>6.5</v>
      </c>
      <c r="D449" s="3" t="s">
        <v>461</v>
      </c>
    </row>
    <row r="450" spans="1:4">
      <c r="A450" s="3" t="s">
        <v>470</v>
      </c>
      <c r="B450" s="4">
        <v>8</v>
      </c>
      <c r="C450" s="7">
        <f>23/4</f>
        <v>5.75</v>
      </c>
      <c r="D450" s="3" t="s">
        <v>461</v>
      </c>
    </row>
    <row r="451" spans="1:4">
      <c r="A451" s="3" t="s">
        <v>471</v>
      </c>
      <c r="B451" s="4">
        <v>18</v>
      </c>
      <c r="C451" s="7">
        <v>14.75</v>
      </c>
      <c r="D451" s="3" t="s">
        <v>461</v>
      </c>
    </row>
    <row r="452" spans="1:4">
      <c r="A452" s="3" t="s">
        <v>472</v>
      </c>
      <c r="B452" s="4">
        <v>20</v>
      </c>
      <c r="C452" s="7">
        <v>15.5</v>
      </c>
      <c r="D452" s="3" t="s">
        <v>461</v>
      </c>
    </row>
    <row r="453" spans="1:4">
      <c r="A453" s="3" t="s">
        <v>473</v>
      </c>
      <c r="B453" s="4">
        <v>17</v>
      </c>
      <c r="C453" s="7">
        <v>14</v>
      </c>
      <c r="D453" s="3" t="s">
        <v>461</v>
      </c>
    </row>
    <row r="454" spans="1:4">
      <c r="A454" s="3" t="s">
        <v>475</v>
      </c>
      <c r="B454" s="4">
        <v>25</v>
      </c>
      <c r="C454" s="7">
        <v>18.25</v>
      </c>
      <c r="D454" s="3" t="s">
        <v>474</v>
      </c>
    </row>
    <row r="455" spans="1:4">
      <c r="A455" s="3" t="s">
        <v>476</v>
      </c>
      <c r="B455" s="4">
        <v>17</v>
      </c>
      <c r="C455" s="7">
        <v>11</v>
      </c>
      <c r="D455" s="3" t="s">
        <v>474</v>
      </c>
    </row>
    <row r="456" spans="1:4">
      <c r="A456" s="3" t="s">
        <v>477</v>
      </c>
      <c r="B456" s="4">
        <v>10</v>
      </c>
      <c r="C456" s="7">
        <v>6.5</v>
      </c>
      <c r="D456" s="3" t="s">
        <v>474</v>
      </c>
    </row>
    <row r="457" spans="1:4">
      <c r="A457" s="3" t="s">
        <v>478</v>
      </c>
      <c r="B457" s="4">
        <v>6</v>
      </c>
      <c r="C457" s="7">
        <v>3.99</v>
      </c>
      <c r="D457" s="3" t="s">
        <v>474</v>
      </c>
    </row>
    <row r="458" spans="1:4">
      <c r="A458" s="3" t="s">
        <v>479</v>
      </c>
      <c r="B458" s="4">
        <v>17</v>
      </c>
      <c r="C458" s="7">
        <v>13</v>
      </c>
      <c r="D458" s="3" t="s">
        <v>474</v>
      </c>
    </row>
    <row r="459" spans="1:4">
      <c r="A459" s="3" t="s">
        <v>480</v>
      </c>
      <c r="B459" s="4">
        <v>13</v>
      </c>
      <c r="C459" s="7">
        <v>10</v>
      </c>
      <c r="D459" s="3" t="s">
        <v>474</v>
      </c>
    </row>
    <row r="460" spans="1:4">
      <c r="A460" s="3" t="s">
        <v>481</v>
      </c>
      <c r="B460" s="4">
        <v>35</v>
      </c>
      <c r="C460" s="7">
        <v>26.5</v>
      </c>
      <c r="D460" s="3" t="s">
        <v>474</v>
      </c>
    </row>
    <row r="461" spans="1:4">
      <c r="A461" s="3" t="s">
        <v>482</v>
      </c>
      <c r="B461" s="4">
        <v>5</v>
      </c>
      <c r="C461" s="7">
        <v>4</v>
      </c>
      <c r="D461" s="3" t="s">
        <v>474</v>
      </c>
    </row>
    <row r="462" spans="1:4">
      <c r="A462" s="3" t="s">
        <v>484</v>
      </c>
      <c r="B462" s="4">
        <v>9</v>
      </c>
      <c r="C462" s="7">
        <v>5.5</v>
      </c>
      <c r="D462" s="3" t="s">
        <v>483</v>
      </c>
    </row>
    <row r="463" spans="1:4">
      <c r="A463" s="3" t="s">
        <v>485</v>
      </c>
      <c r="B463" s="4">
        <v>9</v>
      </c>
      <c r="C463" s="7">
        <v>5.5</v>
      </c>
      <c r="D463" s="3" t="s">
        <v>483</v>
      </c>
    </row>
    <row r="464" spans="1:4">
      <c r="A464" s="3" t="s">
        <v>486</v>
      </c>
      <c r="B464" s="4">
        <v>9</v>
      </c>
      <c r="C464" s="7">
        <v>5.5</v>
      </c>
      <c r="D464" s="3" t="s">
        <v>483</v>
      </c>
    </row>
    <row r="465" spans="1:4">
      <c r="A465" s="3" t="s">
        <v>487</v>
      </c>
      <c r="B465" s="4">
        <v>12</v>
      </c>
      <c r="C465" s="7">
        <f>53.75/6</f>
        <v>8.9583333333333339</v>
      </c>
      <c r="D465" s="3" t="s">
        <v>483</v>
      </c>
    </row>
    <row r="466" spans="1:4">
      <c r="A466" s="3" t="s">
        <v>488</v>
      </c>
      <c r="B466" s="4">
        <v>10</v>
      </c>
      <c r="C466" s="7">
        <v>8</v>
      </c>
      <c r="D466" s="3" t="s">
        <v>483</v>
      </c>
    </row>
    <row r="467" spans="1:4">
      <c r="A467" s="3" t="s">
        <v>489</v>
      </c>
      <c r="B467" s="4">
        <v>10</v>
      </c>
      <c r="C467" s="7">
        <v>8</v>
      </c>
      <c r="D467" s="3" t="s">
        <v>483</v>
      </c>
    </row>
    <row r="468" spans="1:4">
      <c r="A468" s="3" t="s">
        <v>490</v>
      </c>
      <c r="B468" s="4">
        <v>9</v>
      </c>
      <c r="C468" s="7">
        <f>37.5/6</f>
        <v>6.25</v>
      </c>
      <c r="D468" s="3" t="s">
        <v>483</v>
      </c>
    </row>
    <row r="469" spans="1:4">
      <c r="A469" s="3" t="s">
        <v>491</v>
      </c>
      <c r="B469" s="4">
        <v>10</v>
      </c>
      <c r="C469" s="7">
        <f>37.5/6</f>
        <v>6.25</v>
      </c>
      <c r="D469" s="3" t="s">
        <v>483</v>
      </c>
    </row>
    <row r="470" spans="1:4">
      <c r="A470" s="3" t="s">
        <v>492</v>
      </c>
      <c r="B470" s="4">
        <v>23</v>
      </c>
      <c r="C470" s="7">
        <v>17</v>
      </c>
      <c r="D470" s="3" t="s">
        <v>483</v>
      </c>
    </row>
    <row r="471" spans="1:4">
      <c r="A471" s="3" t="s">
        <v>493</v>
      </c>
      <c r="B471" s="4">
        <v>9</v>
      </c>
      <c r="C471" s="7">
        <v>5.75</v>
      </c>
      <c r="D471" s="3" t="s">
        <v>483</v>
      </c>
    </row>
    <row r="472" spans="1:4">
      <c r="A472" s="3" t="s">
        <v>494</v>
      </c>
      <c r="B472" s="4">
        <v>9</v>
      </c>
      <c r="C472" s="7">
        <v>5.75</v>
      </c>
      <c r="D472" s="3" t="s">
        <v>483</v>
      </c>
    </row>
    <row r="473" spans="1:4">
      <c r="A473" s="3" t="s">
        <v>495</v>
      </c>
      <c r="B473" s="4">
        <v>9</v>
      </c>
      <c r="C473" s="7">
        <v>5.75</v>
      </c>
      <c r="D473" s="3" t="s">
        <v>483</v>
      </c>
    </row>
    <row r="474" spans="1:4">
      <c r="A474" s="3" t="s">
        <v>496</v>
      </c>
      <c r="B474" s="4">
        <v>9</v>
      </c>
      <c r="C474" s="7">
        <v>5.75</v>
      </c>
      <c r="D474" s="3" t="s">
        <v>483</v>
      </c>
    </row>
    <row r="475" spans="1:4">
      <c r="A475" s="3" t="s">
        <v>497</v>
      </c>
      <c r="B475" s="4">
        <v>9</v>
      </c>
      <c r="C475" s="7">
        <v>5.14</v>
      </c>
      <c r="D475" s="3" t="s">
        <v>483</v>
      </c>
    </row>
    <row r="476" spans="1:4">
      <c r="A476" s="3" t="s">
        <v>498</v>
      </c>
      <c r="B476" s="4">
        <v>9</v>
      </c>
      <c r="C476" s="7">
        <v>5.14</v>
      </c>
      <c r="D476" s="3" t="s">
        <v>483</v>
      </c>
    </row>
    <row r="477" spans="1:4">
      <c r="A477" s="3" t="s">
        <v>500</v>
      </c>
      <c r="B477" s="4">
        <v>15</v>
      </c>
      <c r="C477" s="7">
        <f>70.8/6</f>
        <v>11.799999999999999</v>
      </c>
      <c r="D477" s="3" t="s">
        <v>499</v>
      </c>
    </row>
    <row r="478" spans="1:4">
      <c r="A478" s="3" t="s">
        <v>501</v>
      </c>
      <c r="B478" s="4">
        <v>15</v>
      </c>
      <c r="C478" s="7">
        <v>12</v>
      </c>
      <c r="D478" s="3" t="s">
        <v>499</v>
      </c>
    </row>
    <row r="479" spans="1:4">
      <c r="A479" s="3" t="s">
        <v>502</v>
      </c>
      <c r="B479" s="4">
        <v>8</v>
      </c>
      <c r="C479" s="7">
        <v>6.1499999999999995</v>
      </c>
      <c r="D479" s="3" t="s">
        <v>499</v>
      </c>
    </row>
    <row r="480" spans="1:4">
      <c r="A480" s="3" t="s">
        <v>504</v>
      </c>
      <c r="B480" s="4">
        <v>8</v>
      </c>
      <c r="C480" s="7">
        <v>6.53</v>
      </c>
      <c r="D480" s="3" t="s">
        <v>503</v>
      </c>
    </row>
    <row r="481" spans="1:4">
      <c r="A481" s="3" t="s">
        <v>505</v>
      </c>
      <c r="B481" s="4">
        <v>8</v>
      </c>
      <c r="C481" s="7">
        <v>6.53</v>
      </c>
      <c r="D481" s="3" t="s">
        <v>503</v>
      </c>
    </row>
    <row r="482" spans="1:4">
      <c r="A482" s="3" t="s">
        <v>506</v>
      </c>
      <c r="B482" s="4">
        <v>8</v>
      </c>
      <c r="C482" s="7">
        <f>72/11</f>
        <v>6.5454545454545459</v>
      </c>
      <c r="D482" s="3" t="s">
        <v>503</v>
      </c>
    </row>
    <row r="483" spans="1:4">
      <c r="A483" s="3" t="s">
        <v>507</v>
      </c>
      <c r="B483" s="4">
        <v>12</v>
      </c>
      <c r="C483" s="7">
        <f>101.75/11</f>
        <v>9.25</v>
      </c>
      <c r="D483" s="3" t="s">
        <v>503</v>
      </c>
    </row>
    <row r="484" spans="1:4">
      <c r="A484" s="3" t="s">
        <v>509</v>
      </c>
      <c r="B484" s="4">
        <v>8</v>
      </c>
      <c r="C484" s="7">
        <f>37.5/6</f>
        <v>6.25</v>
      </c>
      <c r="D484" s="3" t="s">
        <v>508</v>
      </c>
    </row>
    <row r="485" spans="1:4">
      <c r="A485" s="3" t="s">
        <v>510</v>
      </c>
      <c r="B485" s="4">
        <v>8</v>
      </c>
      <c r="C485" s="7">
        <f>37.5/6</f>
        <v>6.25</v>
      </c>
      <c r="D485" s="3" t="s">
        <v>508</v>
      </c>
    </row>
    <row r="486" spans="1:4">
      <c r="A486" s="3" t="s">
        <v>511</v>
      </c>
      <c r="B486" s="4">
        <v>8</v>
      </c>
      <c r="C486" s="7">
        <v>6.1</v>
      </c>
      <c r="D486" s="3" t="s">
        <v>508</v>
      </c>
    </row>
    <row r="487" spans="1:4">
      <c r="A487" s="3" t="s">
        <v>512</v>
      </c>
      <c r="B487" s="4">
        <v>8</v>
      </c>
      <c r="C487" s="7">
        <v>6.1</v>
      </c>
      <c r="D487" s="3" t="s">
        <v>508</v>
      </c>
    </row>
    <row r="488" spans="1:4">
      <c r="A488" s="3" t="s">
        <v>513</v>
      </c>
      <c r="B488" s="4">
        <v>8</v>
      </c>
      <c r="C488" s="7">
        <f>68.75/11</f>
        <v>6.25</v>
      </c>
      <c r="D488" s="3" t="s">
        <v>508</v>
      </c>
    </row>
    <row r="489" spans="1:4">
      <c r="A489" s="3" t="s">
        <v>514</v>
      </c>
      <c r="B489" s="4">
        <v>8</v>
      </c>
      <c r="C489" s="7">
        <f>71.5/11</f>
        <v>6.5</v>
      </c>
      <c r="D489" s="3" t="s">
        <v>508</v>
      </c>
    </row>
    <row r="490" spans="1:4">
      <c r="A490" s="3" t="s">
        <v>515</v>
      </c>
      <c r="B490" s="4">
        <v>12</v>
      </c>
      <c r="C490" s="7">
        <v>10</v>
      </c>
      <c r="D490" s="3" t="s">
        <v>508</v>
      </c>
    </row>
    <row r="491" spans="1:4">
      <c r="A491" s="3" t="s">
        <v>516</v>
      </c>
      <c r="B491" s="4">
        <v>12</v>
      </c>
      <c r="C491" s="7">
        <v>10</v>
      </c>
      <c r="D491" s="3" t="s">
        <v>508</v>
      </c>
    </row>
    <row r="492" spans="1:4">
      <c r="A492" s="3" t="s">
        <v>518</v>
      </c>
      <c r="B492" s="4">
        <v>23</v>
      </c>
      <c r="C492" s="7">
        <f>120/6</f>
        <v>20</v>
      </c>
      <c r="D492" s="3" t="s">
        <v>517</v>
      </c>
    </row>
    <row r="493" spans="1:4">
      <c r="A493" s="3" t="s">
        <v>519</v>
      </c>
      <c r="B493" s="4">
        <v>23</v>
      </c>
      <c r="C493" s="7">
        <f>120/6</f>
        <v>20</v>
      </c>
      <c r="D493" s="3" t="s">
        <v>517</v>
      </c>
    </row>
    <row r="494" spans="1:4">
      <c r="A494" s="3" t="s">
        <v>520</v>
      </c>
      <c r="B494" s="4">
        <v>26</v>
      </c>
      <c r="C494" s="7">
        <v>23.5</v>
      </c>
      <c r="D494" s="3" t="s">
        <v>517</v>
      </c>
    </row>
    <row r="495" spans="1:4">
      <c r="A495" s="3" t="s">
        <v>521</v>
      </c>
      <c r="B495" s="4">
        <v>20</v>
      </c>
      <c r="C495" s="7">
        <f>95.75/6</f>
        <v>15.958333333333334</v>
      </c>
      <c r="D495" s="3" t="s">
        <v>517</v>
      </c>
    </row>
    <row r="496" spans="1:4">
      <c r="A496" s="3" t="s">
        <v>522</v>
      </c>
      <c r="B496" s="4">
        <v>20</v>
      </c>
      <c r="C496" s="7">
        <v>18</v>
      </c>
      <c r="D496" s="3" t="s">
        <v>517</v>
      </c>
    </row>
    <row r="497" spans="1:4">
      <c r="A497" s="3" t="s">
        <v>524</v>
      </c>
      <c r="B497" s="4">
        <v>30</v>
      </c>
      <c r="C497" s="4">
        <v>27</v>
      </c>
      <c r="D497" s="3" t="s">
        <v>523</v>
      </c>
    </row>
    <row r="498" spans="1:4">
      <c r="A498" s="3" t="s">
        <v>525</v>
      </c>
      <c r="B498" s="4">
        <v>25</v>
      </c>
      <c r="C498" s="4">
        <v>19.850000000000001</v>
      </c>
      <c r="D498" s="3" t="s">
        <v>523</v>
      </c>
    </row>
    <row r="499" spans="1:4">
      <c r="A499" s="3" t="s">
        <v>526</v>
      </c>
      <c r="B499" s="4">
        <v>25</v>
      </c>
      <c r="C499" s="4">
        <v>18.649999999999999</v>
      </c>
      <c r="D499" s="3" t="s">
        <v>523</v>
      </c>
    </row>
    <row r="500" spans="1:4">
      <c r="A500" s="3" t="s">
        <v>527</v>
      </c>
      <c r="B500" s="4">
        <v>35</v>
      </c>
      <c r="C500" s="4">
        <v>30</v>
      </c>
      <c r="D500" s="3" t="s">
        <v>523</v>
      </c>
    </row>
    <row r="501" spans="1:4">
      <c r="A501" s="3" t="s">
        <v>529</v>
      </c>
      <c r="B501" s="4">
        <v>40</v>
      </c>
      <c r="C501" s="4">
        <v>38</v>
      </c>
      <c r="D501" s="3" t="s">
        <v>528</v>
      </c>
    </row>
    <row r="502" spans="1:4">
      <c r="A502" s="3" t="s">
        <v>530</v>
      </c>
      <c r="B502" s="4">
        <v>22</v>
      </c>
      <c r="C502" s="7">
        <v>18.5</v>
      </c>
      <c r="D502" s="3" t="s">
        <v>4</v>
      </c>
    </row>
    <row r="503" spans="1:4">
      <c r="A503" s="3" t="s">
        <v>532</v>
      </c>
      <c r="B503" s="4">
        <v>10</v>
      </c>
      <c r="C503" s="7">
        <f>90.75/11</f>
        <v>8.25</v>
      </c>
      <c r="D503" s="3" t="s">
        <v>531</v>
      </c>
    </row>
    <row r="504" spans="1:4">
      <c r="A504" s="3" t="s">
        <v>533</v>
      </c>
      <c r="B504" s="4">
        <v>10</v>
      </c>
      <c r="C504" s="7">
        <v>8.75</v>
      </c>
      <c r="D504" s="3" t="s">
        <v>531</v>
      </c>
    </row>
    <row r="505" spans="1:4">
      <c r="A505" s="3" t="s">
        <v>535</v>
      </c>
      <c r="B505" s="4">
        <v>13</v>
      </c>
      <c r="C505" s="7">
        <v>7.6</v>
      </c>
      <c r="D505" s="3" t="s">
        <v>534</v>
      </c>
    </row>
    <row r="506" spans="1:4">
      <c r="A506" s="3" t="s">
        <v>536</v>
      </c>
      <c r="B506" s="4">
        <v>20</v>
      </c>
      <c r="C506" s="7">
        <v>12</v>
      </c>
      <c r="D506" s="3" t="s">
        <v>534</v>
      </c>
    </row>
    <row r="507" spans="1:4">
      <c r="A507" s="3" t="s">
        <v>537</v>
      </c>
      <c r="B507" s="4">
        <v>30</v>
      </c>
      <c r="C507" s="7">
        <v>20</v>
      </c>
      <c r="D507" s="3" t="s">
        <v>534</v>
      </c>
    </row>
    <row r="508" spans="1:4">
      <c r="A508" s="3" t="s">
        <v>538</v>
      </c>
      <c r="B508" s="4">
        <v>130</v>
      </c>
      <c r="C508" s="7">
        <v>90</v>
      </c>
      <c r="D508" s="3" t="s">
        <v>534</v>
      </c>
    </row>
    <row r="509" spans="1:4">
      <c r="A509" s="3" t="s">
        <v>540</v>
      </c>
      <c r="B509" s="4">
        <v>5</v>
      </c>
      <c r="C509" s="7">
        <f>45/20</f>
        <v>2.25</v>
      </c>
      <c r="D509" s="3" t="s">
        <v>539</v>
      </c>
    </row>
    <row r="510" spans="1:4">
      <c r="A510" s="3" t="s">
        <v>541</v>
      </c>
      <c r="B510" s="4">
        <v>8</v>
      </c>
      <c r="C510" s="7">
        <f>48/10</f>
        <v>4.8</v>
      </c>
      <c r="D510" s="3" t="s">
        <v>539</v>
      </c>
    </row>
    <row r="511" spans="1:4">
      <c r="A511" s="3" t="s">
        <v>542</v>
      </c>
      <c r="B511" s="4">
        <v>10</v>
      </c>
      <c r="C511" s="7">
        <f>30/4</f>
        <v>7.5</v>
      </c>
      <c r="D511" s="3" t="s">
        <v>539</v>
      </c>
    </row>
    <row r="512" spans="1:4">
      <c r="A512" s="3" t="s">
        <v>543</v>
      </c>
      <c r="B512" s="4">
        <v>12</v>
      </c>
      <c r="C512" s="7">
        <f>37/4</f>
        <v>9.25</v>
      </c>
      <c r="D512" s="3" t="s">
        <v>539</v>
      </c>
    </row>
    <row r="513" spans="1:4">
      <c r="A513" s="3" t="s">
        <v>545</v>
      </c>
      <c r="B513" s="4">
        <v>30</v>
      </c>
      <c r="C513" s="7">
        <f>112/10</f>
        <v>11.2</v>
      </c>
      <c r="D513" s="3" t="s">
        <v>544</v>
      </c>
    </row>
    <row r="514" spans="1:4">
      <c r="A514" s="3" t="s">
        <v>546</v>
      </c>
      <c r="B514" s="4">
        <v>25</v>
      </c>
      <c r="C514" s="7">
        <f>112/10</f>
        <v>11.2</v>
      </c>
      <c r="D514" s="3" t="s">
        <v>544</v>
      </c>
    </row>
    <row r="515" spans="1:4">
      <c r="A515" s="3" t="s">
        <v>548</v>
      </c>
      <c r="B515" s="4">
        <v>20</v>
      </c>
      <c r="C515" s="7">
        <v>15</v>
      </c>
      <c r="D515" s="3" t="s">
        <v>547</v>
      </c>
    </row>
    <row r="516" spans="1:4">
      <c r="A516" s="3" t="s">
        <v>549</v>
      </c>
      <c r="B516" s="4">
        <v>20</v>
      </c>
      <c r="C516" s="7">
        <v>18</v>
      </c>
      <c r="D516" s="3" t="s">
        <v>547</v>
      </c>
    </row>
    <row r="517" spans="1:4">
      <c r="A517" s="3" t="s">
        <v>550</v>
      </c>
      <c r="B517" s="4">
        <v>20</v>
      </c>
      <c r="C517" s="7">
        <f>90/5</f>
        <v>18</v>
      </c>
      <c r="D517" s="3" t="s">
        <v>547</v>
      </c>
    </row>
    <row r="518" spans="1:4">
      <c r="A518" s="3" t="s">
        <v>551</v>
      </c>
      <c r="B518" s="4">
        <v>15</v>
      </c>
      <c r="C518" s="4">
        <v>10</v>
      </c>
      <c r="D518" s="3" t="s">
        <v>547</v>
      </c>
    </row>
    <row r="519" spans="1:4">
      <c r="A519" s="3" t="s">
        <v>552</v>
      </c>
      <c r="B519" s="4">
        <v>15</v>
      </c>
      <c r="C519" s="4">
        <v>8</v>
      </c>
      <c r="D519" s="3" t="s">
        <v>547</v>
      </c>
    </row>
    <row r="520" spans="1:4">
      <c r="A520" s="3" t="s">
        <v>553</v>
      </c>
      <c r="B520" s="4">
        <v>30</v>
      </c>
      <c r="C520" s="7">
        <v>25</v>
      </c>
      <c r="D520" s="3" t="s">
        <v>547</v>
      </c>
    </row>
    <row r="521" spans="1:4">
      <c r="A521" s="3" t="s">
        <v>554</v>
      </c>
      <c r="B521" s="4">
        <v>1</v>
      </c>
      <c r="C521" s="7">
        <v>0.5</v>
      </c>
      <c r="D521" s="3" t="s">
        <v>547</v>
      </c>
    </row>
    <row r="522" spans="1:4">
      <c r="A522" s="3" t="s">
        <v>555</v>
      </c>
      <c r="B522" s="4">
        <v>2</v>
      </c>
      <c r="C522" s="7">
        <v>1</v>
      </c>
      <c r="D522" s="3" t="s">
        <v>547</v>
      </c>
    </row>
    <row r="523" spans="1:4">
      <c r="A523" s="3" t="s">
        <v>556</v>
      </c>
      <c r="B523" s="4">
        <v>2</v>
      </c>
      <c r="C523" s="7">
        <v>1</v>
      </c>
      <c r="D523" s="3" t="s">
        <v>547</v>
      </c>
    </row>
    <row r="524" spans="1:4">
      <c r="A524" s="3" t="s">
        <v>557</v>
      </c>
      <c r="B524" s="4">
        <v>2</v>
      </c>
      <c r="C524" s="7">
        <f>28/50</f>
        <v>0.56000000000000005</v>
      </c>
      <c r="D524" s="3" t="s">
        <v>547</v>
      </c>
    </row>
    <row r="525" spans="1:4">
      <c r="A525" s="3" t="s">
        <v>558</v>
      </c>
      <c r="B525" s="4">
        <v>2</v>
      </c>
      <c r="C525" s="7">
        <v>1</v>
      </c>
      <c r="D525" s="3" t="s">
        <v>547</v>
      </c>
    </row>
    <row r="526" spans="1:4">
      <c r="A526" s="3" t="s">
        <v>559</v>
      </c>
      <c r="B526" s="4">
        <v>2</v>
      </c>
      <c r="C526" s="7">
        <v>1</v>
      </c>
      <c r="D526" s="3" t="s">
        <v>547</v>
      </c>
    </row>
    <row r="527" spans="1:4">
      <c r="A527" s="3" t="s">
        <v>560</v>
      </c>
      <c r="B527" s="4">
        <v>25</v>
      </c>
      <c r="C527" s="7">
        <f>100.2/6</f>
        <v>16.7</v>
      </c>
      <c r="D527" s="3" t="s">
        <v>547</v>
      </c>
    </row>
    <row r="528" spans="1:4">
      <c r="A528" s="3" t="s">
        <v>561</v>
      </c>
      <c r="B528" s="4">
        <v>15</v>
      </c>
      <c r="C528" s="7">
        <v>10</v>
      </c>
      <c r="D528" s="3" t="s">
        <v>547</v>
      </c>
    </row>
    <row r="529" spans="1:4">
      <c r="A529" s="3" t="s">
        <v>562</v>
      </c>
      <c r="B529" s="4">
        <v>4</v>
      </c>
      <c r="C529" s="7">
        <v>1.95</v>
      </c>
      <c r="D529" s="3" t="s">
        <v>547</v>
      </c>
    </row>
    <row r="530" spans="1:4">
      <c r="A530" s="3" t="s">
        <v>563</v>
      </c>
      <c r="B530" s="4">
        <v>5</v>
      </c>
      <c r="C530" s="7">
        <v>4</v>
      </c>
      <c r="D530" s="3" t="s">
        <v>547</v>
      </c>
    </row>
    <row r="531" spans="1:4">
      <c r="A531" s="3" t="s">
        <v>564</v>
      </c>
      <c r="B531" s="4">
        <v>15</v>
      </c>
      <c r="C531" s="7">
        <f>120/12</f>
        <v>10</v>
      </c>
      <c r="D531" s="3" t="s">
        <v>547</v>
      </c>
    </row>
    <row r="532" spans="1:4">
      <c r="A532" s="3" t="s">
        <v>565</v>
      </c>
      <c r="B532" s="4">
        <v>15</v>
      </c>
      <c r="C532" s="7">
        <v>9.6666666666666661</v>
      </c>
      <c r="D532" s="3" t="s">
        <v>547</v>
      </c>
    </row>
    <row r="533" spans="1:4">
      <c r="A533" s="3" t="s">
        <v>566</v>
      </c>
      <c r="B533" s="4">
        <v>30</v>
      </c>
      <c r="C533" s="7">
        <v>25</v>
      </c>
      <c r="D533" s="3" t="s">
        <v>547</v>
      </c>
    </row>
    <row r="534" spans="1:4">
      <c r="A534" s="3" t="s">
        <v>567</v>
      </c>
      <c r="B534" s="4">
        <v>15</v>
      </c>
      <c r="C534" s="7">
        <v>5.5</v>
      </c>
      <c r="D534" s="3" t="s">
        <v>547</v>
      </c>
    </row>
    <row r="535" spans="1:4">
      <c r="A535" s="3" t="s">
        <v>568</v>
      </c>
      <c r="B535" s="4">
        <v>15</v>
      </c>
      <c r="C535" s="7">
        <f>68/12</f>
        <v>5.666666666666667</v>
      </c>
      <c r="D535" s="3" t="s">
        <v>547</v>
      </c>
    </row>
    <row r="536" spans="1:4">
      <c r="A536" s="3" t="s">
        <v>569</v>
      </c>
      <c r="B536" s="4">
        <v>22</v>
      </c>
      <c r="C536" s="7">
        <v>20</v>
      </c>
      <c r="D536" s="3" t="s">
        <v>547</v>
      </c>
    </row>
    <row r="537" spans="1:4">
      <c r="A537" s="3" t="s">
        <v>570</v>
      </c>
      <c r="B537" s="4">
        <v>32</v>
      </c>
      <c r="C537" s="7">
        <v>25</v>
      </c>
      <c r="D537" s="3" t="s">
        <v>547</v>
      </c>
    </row>
    <row r="538" spans="1:4">
      <c r="A538" s="3" t="s">
        <v>571</v>
      </c>
      <c r="B538" s="4">
        <v>20</v>
      </c>
      <c r="C538" s="7">
        <v>11</v>
      </c>
      <c r="D538" s="3" t="s">
        <v>547</v>
      </c>
    </row>
    <row r="539" spans="1:4">
      <c r="A539" s="3" t="s">
        <v>572</v>
      </c>
      <c r="B539" s="4">
        <v>10</v>
      </c>
      <c r="C539" s="7">
        <v>9</v>
      </c>
      <c r="D539" s="3" t="s">
        <v>547</v>
      </c>
    </row>
    <row r="540" spans="1:4">
      <c r="A540" s="3" t="s">
        <v>573</v>
      </c>
      <c r="B540" s="4">
        <v>5</v>
      </c>
      <c r="C540" s="7">
        <v>4</v>
      </c>
      <c r="D540" s="3" t="s">
        <v>547</v>
      </c>
    </row>
    <row r="541" spans="1:4">
      <c r="A541" s="3" t="s">
        <v>574</v>
      </c>
      <c r="B541" s="4">
        <v>2</v>
      </c>
      <c r="C541" s="7">
        <v>1</v>
      </c>
      <c r="D541" s="3" t="s">
        <v>547</v>
      </c>
    </row>
    <row r="542" spans="1:4">
      <c r="A542" s="3" t="s">
        <v>575</v>
      </c>
      <c r="B542" s="4">
        <v>45</v>
      </c>
      <c r="C542" s="7">
        <v>31</v>
      </c>
      <c r="D542" s="3" t="s">
        <v>547</v>
      </c>
    </row>
    <row r="543" spans="1:4">
      <c r="A543" s="3" t="s">
        <v>577</v>
      </c>
      <c r="B543" s="4">
        <v>2</v>
      </c>
      <c r="C543" s="7">
        <v>0.9</v>
      </c>
      <c r="D543" s="3" t="s">
        <v>576</v>
      </c>
    </row>
    <row r="544" spans="1:4">
      <c r="A544" s="3" t="s">
        <v>578</v>
      </c>
      <c r="B544" s="4">
        <v>1</v>
      </c>
      <c r="C544" s="7">
        <v>0.5</v>
      </c>
      <c r="D544" s="3" t="s">
        <v>576</v>
      </c>
    </row>
    <row r="545" spans="1:4">
      <c r="A545" s="3" t="s">
        <v>579</v>
      </c>
      <c r="B545" s="4">
        <v>20</v>
      </c>
      <c r="C545" s="7">
        <v>15</v>
      </c>
      <c r="D545" s="3" t="s">
        <v>576</v>
      </c>
    </row>
    <row r="546" spans="1:4">
      <c r="A546" s="3" t="s">
        <v>580</v>
      </c>
      <c r="B546" s="4">
        <v>12</v>
      </c>
      <c r="C546" s="7">
        <v>10</v>
      </c>
      <c r="D546" s="3" t="s">
        <v>576</v>
      </c>
    </row>
    <row r="547" spans="1:4">
      <c r="A547" s="3" t="s">
        <v>581</v>
      </c>
      <c r="B547" s="4">
        <v>20</v>
      </c>
      <c r="C547" s="7">
        <v>15</v>
      </c>
      <c r="D547" s="3" t="s">
        <v>576</v>
      </c>
    </row>
    <row r="548" spans="1:4">
      <c r="A548" s="3" t="s">
        <v>582</v>
      </c>
      <c r="B548" s="4">
        <v>14</v>
      </c>
      <c r="C548" s="7">
        <v>9</v>
      </c>
      <c r="D548" s="3" t="s">
        <v>576</v>
      </c>
    </row>
    <row r="549" spans="1:4">
      <c r="A549" s="3" t="s">
        <v>583</v>
      </c>
      <c r="B549" s="4">
        <v>22</v>
      </c>
      <c r="C549" s="7">
        <v>16</v>
      </c>
      <c r="D549" s="3" t="s">
        <v>576</v>
      </c>
    </row>
    <row r="550" spans="1:4">
      <c r="A550" s="3" t="s">
        <v>584</v>
      </c>
      <c r="B550" s="4">
        <v>30</v>
      </c>
      <c r="C550" s="7">
        <v>19</v>
      </c>
      <c r="D550" s="3" t="s">
        <v>576</v>
      </c>
    </row>
    <row r="551" spans="1:4">
      <c r="A551" s="3" t="s">
        <v>585</v>
      </c>
      <c r="B551" s="4">
        <v>15</v>
      </c>
      <c r="C551" s="7">
        <v>10</v>
      </c>
      <c r="D551" s="3" t="s">
        <v>576</v>
      </c>
    </row>
    <row r="552" spans="1:4">
      <c r="A552" s="3" t="s">
        <v>586</v>
      </c>
      <c r="B552" s="4">
        <v>10</v>
      </c>
      <c r="C552" s="7">
        <v>6</v>
      </c>
      <c r="D552" s="3" t="s">
        <v>576</v>
      </c>
    </row>
    <row r="553" spans="1:4">
      <c r="A553" s="3" t="s">
        <v>587</v>
      </c>
      <c r="B553" s="4">
        <v>10</v>
      </c>
      <c r="C553" s="7">
        <v>6</v>
      </c>
      <c r="D553" s="3" t="s">
        <v>576</v>
      </c>
    </row>
    <row r="554" spans="1:4">
      <c r="A554" s="3" t="s">
        <v>588</v>
      </c>
      <c r="B554" s="4">
        <v>10</v>
      </c>
      <c r="C554" s="7">
        <v>3.7</v>
      </c>
      <c r="D554" s="3" t="s">
        <v>576</v>
      </c>
    </row>
    <row r="555" spans="1:4">
      <c r="A555" s="3" t="s">
        <v>589</v>
      </c>
      <c r="B555" s="4">
        <v>15</v>
      </c>
      <c r="C555" s="7">
        <v>10</v>
      </c>
      <c r="D555" s="3" t="s">
        <v>576</v>
      </c>
    </row>
    <row r="556" spans="1:4">
      <c r="A556" s="3" t="s">
        <v>590</v>
      </c>
      <c r="B556" s="4">
        <v>4</v>
      </c>
      <c r="C556" s="7">
        <v>1.7</v>
      </c>
      <c r="D556" s="3" t="s">
        <v>576</v>
      </c>
    </row>
    <row r="557" spans="1:4">
      <c r="A557" s="3" t="s">
        <v>591</v>
      </c>
      <c r="B557" s="4">
        <v>10</v>
      </c>
      <c r="C557" s="7">
        <v>6.9</v>
      </c>
      <c r="D557" s="3" t="s">
        <v>576</v>
      </c>
    </row>
    <row r="558" spans="1:4">
      <c r="A558" s="3" t="s">
        <v>592</v>
      </c>
      <c r="B558" s="4">
        <v>1</v>
      </c>
      <c r="C558" s="7">
        <f>189/500</f>
        <v>0.378</v>
      </c>
      <c r="D558" s="3" t="s">
        <v>576</v>
      </c>
    </row>
    <row r="559" spans="1:4">
      <c r="A559" s="3" t="s">
        <v>593</v>
      </c>
      <c r="B559" s="4">
        <v>20</v>
      </c>
      <c r="C559" s="7">
        <v>11</v>
      </c>
      <c r="D559" s="3" t="s">
        <v>576</v>
      </c>
    </row>
    <row r="560" spans="1:4">
      <c r="A560" s="3" t="s">
        <v>594</v>
      </c>
      <c r="B560" s="4">
        <v>5</v>
      </c>
      <c r="C560" s="7">
        <v>4</v>
      </c>
      <c r="D560" s="3" t="s">
        <v>576</v>
      </c>
    </row>
    <row r="561" spans="1:4">
      <c r="A561" s="3" t="s">
        <v>596</v>
      </c>
      <c r="B561" s="4">
        <v>32</v>
      </c>
      <c r="C561" s="7">
        <v>27</v>
      </c>
      <c r="D561" s="3" t="s">
        <v>595</v>
      </c>
    </row>
    <row r="562" spans="1:4">
      <c r="A562" s="3" t="s">
        <v>597</v>
      </c>
      <c r="B562" s="4">
        <v>45</v>
      </c>
      <c r="C562" s="7">
        <v>38</v>
      </c>
      <c r="D562" s="3" t="s">
        <v>595</v>
      </c>
    </row>
    <row r="563" spans="1:4">
      <c r="A563" s="3" t="s">
        <v>598</v>
      </c>
      <c r="B563" s="4">
        <v>2</v>
      </c>
      <c r="C563" s="7">
        <v>1</v>
      </c>
      <c r="D563" s="3" t="s">
        <v>595</v>
      </c>
    </row>
    <row r="564" spans="1:4">
      <c r="A564" s="3" t="s">
        <v>599</v>
      </c>
      <c r="B564" s="4">
        <v>10</v>
      </c>
      <c r="C564" s="7">
        <v>6.2</v>
      </c>
      <c r="D564" s="3" t="s">
        <v>595</v>
      </c>
    </row>
    <row r="565" spans="1:4">
      <c r="A565" s="3" t="s">
        <v>600</v>
      </c>
      <c r="B565" s="4">
        <v>8</v>
      </c>
      <c r="C565" s="7">
        <v>4.5</v>
      </c>
      <c r="D565" s="3" t="s">
        <v>595</v>
      </c>
    </row>
    <row r="566" spans="1:4">
      <c r="A566" s="3" t="s">
        <v>601</v>
      </c>
      <c r="B566" s="4">
        <v>10</v>
      </c>
      <c r="C566" s="7">
        <v>7.5</v>
      </c>
      <c r="D566" s="3" t="s">
        <v>595</v>
      </c>
    </row>
    <row r="567" spans="1:4">
      <c r="A567" s="3" t="s">
        <v>602</v>
      </c>
      <c r="B567" s="4">
        <v>12</v>
      </c>
      <c r="C567" s="7">
        <v>8.5</v>
      </c>
      <c r="D567" s="3" t="s">
        <v>595</v>
      </c>
    </row>
    <row r="568" spans="1:4">
      <c r="A568" s="3" t="s">
        <v>603</v>
      </c>
      <c r="B568" s="4">
        <v>5</v>
      </c>
      <c r="C568" s="7">
        <v>1.2</v>
      </c>
      <c r="D568" s="3" t="s">
        <v>595</v>
      </c>
    </row>
    <row r="569" spans="1:4">
      <c r="A569" s="3" t="s">
        <v>604</v>
      </c>
      <c r="B569" s="4">
        <v>6</v>
      </c>
      <c r="C569" s="7">
        <v>3</v>
      </c>
      <c r="D569" s="3" t="s">
        <v>595</v>
      </c>
    </row>
    <row r="570" spans="1:4">
      <c r="A570" s="3" t="s">
        <v>605</v>
      </c>
      <c r="B570" s="4">
        <v>11</v>
      </c>
      <c r="C570" s="7">
        <v>7.3</v>
      </c>
      <c r="D570" s="3" t="s">
        <v>595</v>
      </c>
    </row>
    <row r="571" spans="1:4">
      <c r="A571" s="3" t="s">
        <v>606</v>
      </c>
      <c r="B571" s="4">
        <v>12</v>
      </c>
      <c r="C571" s="7">
        <v>8.25</v>
      </c>
      <c r="D571" s="3" t="s">
        <v>595</v>
      </c>
    </row>
    <row r="572" spans="1:4">
      <c r="A572" s="3" t="s">
        <v>607</v>
      </c>
      <c r="B572" s="4">
        <v>15</v>
      </c>
      <c r="C572" s="7">
        <v>10.75</v>
      </c>
      <c r="D572" s="3" t="s">
        <v>595</v>
      </c>
    </row>
    <row r="573" spans="1:4">
      <c r="A573" s="3" t="s">
        <v>608</v>
      </c>
      <c r="B573" s="4">
        <v>8</v>
      </c>
      <c r="C573" s="7">
        <v>4.25</v>
      </c>
      <c r="D573" s="3" t="s">
        <v>595</v>
      </c>
    </row>
    <row r="574" spans="1:4">
      <c r="A574" s="3" t="s">
        <v>609</v>
      </c>
      <c r="B574" s="4">
        <v>10</v>
      </c>
      <c r="C574" s="4">
        <v>6.8</v>
      </c>
      <c r="D574" s="3" t="s">
        <v>595</v>
      </c>
    </row>
    <row r="575" spans="1:4">
      <c r="A575" s="3" t="s">
        <v>610</v>
      </c>
      <c r="B575" s="4">
        <v>12</v>
      </c>
      <c r="C575" s="4">
        <v>7.9</v>
      </c>
      <c r="D575" s="3" t="s">
        <v>595</v>
      </c>
    </row>
    <row r="576" spans="1:4">
      <c r="A576" s="3" t="s">
        <v>611</v>
      </c>
      <c r="B576" s="4">
        <v>16</v>
      </c>
      <c r="C576" s="4">
        <v>11.5</v>
      </c>
      <c r="D576" s="3" t="s">
        <v>595</v>
      </c>
    </row>
    <row r="577" spans="1:4">
      <c r="A577" s="3" t="s">
        <v>612</v>
      </c>
      <c r="B577" s="4">
        <v>5</v>
      </c>
      <c r="C577" s="4">
        <v>1.5</v>
      </c>
      <c r="D577" s="3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Datu</dc:creator>
  <cp:lastModifiedBy>Jaye V. Labandia</cp:lastModifiedBy>
  <dcterms:created xsi:type="dcterms:W3CDTF">2026-02-19T13:02:00Z</dcterms:created>
  <dcterms:modified xsi:type="dcterms:W3CDTF">2026-02-25T02:11:29Z</dcterms:modified>
</cp:coreProperties>
</file>